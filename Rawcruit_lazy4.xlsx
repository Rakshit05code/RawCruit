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ings" sheetId="1" state="visible" r:id="rId3"/>
    <sheet name="Summary 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<sst xmlns="http://schemas.openxmlformats.org/spreadsheetml/2006/main" count="358" uniqueCount="280">
  <si>
    <t xml:space="preserve">RAWCRUIT — Intelligent Candidate Ranking</t>
  </si>
  <si>
    <t xml:space="preserve">Team Lazy4 · Redrob Hackathon 2026 · Senior AI Engineer — Top 100 Candidates</t>
  </si>
  <si>
    <t xml:space="preserve">Rank</t>
  </si>
  <si>
    <t xml:space="preserve">Candidate ID</t>
  </si>
  <si>
    <t xml:space="preserve">Score</t>
  </si>
  <si>
    <t xml:space="preserve">Score %</t>
  </si>
  <si>
    <t xml:space="preserve">Title &amp; Key Signals</t>
  </si>
  <si>
    <t xml:space="preserve">Reasoning</t>
  </si>
  <si>
    <t xml:space="preserve">CAND_0000031</t>
  </si>
  <si>
    <t xml:space="preserve">Recommendation Systems Engineer  [TITLE_MATCH · PRODUCT_CO_EXP]</t>
  </si>
  <si>
    <t xml:space="preserve">Recommendation Systems Engineer with 6.0 yrs exp; 8 AI/ML core skills; recruiter response rate 0.91; TITLE_MATCH; PRODUCT_CO_EXP</t>
  </si>
  <si>
    <t xml:space="preserve">CAND_0001610</t>
  </si>
  <si>
    <t xml:space="preserve">Machine Learning Engineer  [TITLE_MATCH · MULTI_AI_ROLE]</t>
  </si>
  <si>
    <t xml:space="preserve">Machine Learning Engineer with 3.0 yrs exp; 10 AI/ML core skills; recruiter response rate 0.57; TITLE_MATCH; MULTI_AI_ROLE</t>
  </si>
  <si>
    <t xml:space="preserve">CAND_0002025</t>
  </si>
  <si>
    <t xml:space="preserve">Senior AI Engineer  [TITLE_MATCH · MULTI_AI_ROLE]</t>
  </si>
  <si>
    <t xml:space="preserve">Senior AI Engineer with 5.9 yrs exp; 13 AI/ML core skills; recruiter response rate 0.80; TITLE_MATCH; MULTI_AI_ROLE</t>
  </si>
  <si>
    <t xml:space="preserve">CAND_0002120</t>
  </si>
  <si>
    <t xml:space="preserve">ML Engineer  [TITLE_MATCH · AI_EXP_4YR]</t>
  </si>
  <si>
    <t xml:space="preserve">ML Engineer with 6.5 yrs exp; 6 AI/ML core skills; recruiter response rate 0.72; TITLE_MATCH; AI_EXP_4YR</t>
  </si>
  <si>
    <t xml:space="preserve">CAND_0003791</t>
  </si>
  <si>
    <t xml:space="preserve">ML Engineer  [TITLE_MATCH · MULTI_AI_ROLE]</t>
  </si>
  <si>
    <t xml:space="preserve">ML Engineer with 6.6 yrs exp; 5 AI/ML core skills; recruiter response rate 0.66; TITLE_MATCH; MULTI_AI_ROLE</t>
  </si>
  <si>
    <t xml:space="preserve">CAND_0003977</t>
  </si>
  <si>
    <t xml:space="preserve">Recommendation Systems Engineer  [TITLE_MATCH · MULTI_AI_ROLE]</t>
  </si>
  <si>
    <t xml:space="preserve">Recommendation Systems Engineer with 4.6 yrs exp; 7 AI/ML core skills; recruiter response rate 0.55; TITLE_MATCH; MULTI_AI_ROLE</t>
  </si>
  <si>
    <t xml:space="preserve">CAND_0004402</t>
  </si>
  <si>
    <t xml:space="preserve">AI Research Engineer  [TITLE_MATCH · AI_EXP_4YR]</t>
  </si>
  <si>
    <t xml:space="preserve">AI Research Engineer with 6.0 yrs exp; 7 AI/ML core skills; recruiter response rate 0.83; TITLE_MATCH; AI_EXP_4YR</t>
  </si>
  <si>
    <t xml:space="preserve">CAND_0005260</t>
  </si>
  <si>
    <t xml:space="preserve">Senior NLP Engineer  [TITLE_MATCH · MULTI_AI_ROLE]</t>
  </si>
  <si>
    <t xml:space="preserve">Senior NLP Engineer with 5.2 yrs exp; 9 AI/ML core skills; recruiter response rate 0.86; TITLE_MATCH; MULTI_AI_ROLE</t>
  </si>
  <si>
    <t xml:space="preserve">CAND_0005269</t>
  </si>
  <si>
    <t xml:space="preserve">Senior Software Engineer (ML)  [TITLE_MATCH · AI_EXP_4YR]</t>
  </si>
  <si>
    <t xml:space="preserve">Senior Software Engineer (ML) with 6.1 yrs exp; 7 AI/ML core skills; recruiter response rate 0.28; TITLE_MATCH; AI_EXP_4YR</t>
  </si>
  <si>
    <t xml:space="preserve">CAND_0005311</t>
  </si>
  <si>
    <t xml:space="preserve">AI Research Engineer  [TITLE_MATCH · PRODUCT_CO_EXP]</t>
  </si>
  <si>
    <t xml:space="preserve">AI Research Engineer with 5.7 yrs exp; 6 AI/ML core skills; recruiter response rate 0.29; TITLE_MATCH; PRODUCT_CO_EXP</t>
  </si>
  <si>
    <t xml:space="preserve">CAND_0005509</t>
  </si>
  <si>
    <t xml:space="preserve">Data Scientist  [TITLE_MATCH · PRODUCT_CO_EXP]</t>
  </si>
  <si>
    <t xml:space="preserve">Data Scientist with 6.0 yrs exp; 3 AI/ML core skills; recruiter response rate 0.40; TITLE_MATCH; PRODUCT_CO_EXP</t>
  </si>
  <si>
    <t xml:space="preserve">CAND_0005538</t>
  </si>
  <si>
    <t xml:space="preserve">Senior AI Engineer  [TITLE_MATCH]</t>
  </si>
  <si>
    <t xml:space="preserve">Senior AI Engineer with 5.9 yrs exp; 6 AI/ML core skills; recruiter response rate 0.81; TITLE_MATCH</t>
  </si>
  <si>
    <t xml:space="preserve">CAND_0005649</t>
  </si>
  <si>
    <t xml:space="preserve">Senior Data Scientist  [TITLE_MATCH · MULTI_AI_ROLE]</t>
  </si>
  <si>
    <t xml:space="preserve">Senior Data Scientist with 7.4 yrs exp; 10 AI/ML core skills; recruiter response rate 0.57; TITLE_MATCH; MULTI_AI_ROLE</t>
  </si>
  <si>
    <t xml:space="preserve">CAND_0006418</t>
  </si>
  <si>
    <t xml:space="preserve">Machine Learning Engineer  [TITLE_MATCH · PRODUCT_CO_EXP]</t>
  </si>
  <si>
    <t xml:space="preserve">Machine Learning Engineer with 5.7 yrs exp; 8 AI/ML core skills; recruiter response rate 0.92; TITLE_MATCH; PRODUCT_CO_EXP</t>
  </si>
  <si>
    <t xml:space="preserve">CAND_0006557</t>
  </si>
  <si>
    <t xml:space="preserve">NLP Engineer  [TITLE_MATCH · MULTI_AI_ROLE]</t>
  </si>
  <si>
    <t xml:space="preserve">NLP Engineer with 7.9 yrs exp; 10 AI/ML core skills; recruiter response rate 0.63; TITLE_MATCH; MULTI_AI_ROLE</t>
  </si>
  <si>
    <t xml:space="preserve">CAND_0006567</t>
  </si>
  <si>
    <t xml:space="preserve">Senior AI Engineer  [TITLE_MATCH · PRODUCT_CO_EXP]</t>
  </si>
  <si>
    <t xml:space="preserve">Senior AI Engineer with 7.9 yrs exp; 8 AI/ML core skills; recruiter response rate 0.79; TITLE_MATCH; PRODUCT_CO_EXP</t>
  </si>
  <si>
    <t xml:space="preserve">CAND_0007009</t>
  </si>
  <si>
    <t xml:space="preserve">Recommendation Systems Engineer with 7.9 yrs exp; 10 AI/ML core skills; recruiter response rate 0.62; TITLE_MATCH; MULTI_AI_ROLE</t>
  </si>
  <si>
    <t xml:space="preserve">CAND_0007412</t>
  </si>
  <si>
    <t xml:space="preserve">Applied ML Engineer  [TITLE_MATCH · MULTI_AI_ROLE]</t>
  </si>
  <si>
    <t xml:space="preserve">Applied ML Engineer with 7.4 yrs exp; 7 AI/ML core skills; recruiter response rate 0.76; TITLE_MATCH; MULTI_AI_ROLE</t>
  </si>
  <si>
    <t xml:space="preserve">CAND_0007596</t>
  </si>
  <si>
    <t xml:space="preserve">Junior ML Engineer  [TITLE_MATCH · PRODUCT_CO_EXP]</t>
  </si>
  <si>
    <t xml:space="preserve">Junior ML Engineer with 4.4 yrs exp; 7 AI/ML core skills; recruiter response rate 0.86; TITLE_MATCH; PRODUCT_CO_EXP</t>
  </si>
  <si>
    <t xml:space="preserve">CAND_0008295</t>
  </si>
  <si>
    <t xml:space="preserve">AI Research Engineer with 6.5 yrs exp; 5 AI/ML core skills; recruiter response rate 0.89; TITLE_MATCH; AI_EXP_4YR</t>
  </si>
  <si>
    <t xml:space="preserve">CAND_0008425</t>
  </si>
  <si>
    <t xml:space="preserve">Senior NLP Engineer with 7.8 yrs exp; 11 AI/ML core skills; recruiter response rate 0.66; TITLE_MATCH; MULTI_AI_ROLE</t>
  </si>
  <si>
    <t xml:space="preserve">CAND_0009024</t>
  </si>
  <si>
    <t xml:space="preserve">Search Engineer  [TITLE_MATCH · MULTI_AI_ROLE]</t>
  </si>
  <si>
    <t xml:space="preserve">Search Engineer with 5.2 yrs exp; 8 AI/ML core skills; recruiter response rate 0.46; TITLE_MATCH; MULTI_AI_ROLE</t>
  </si>
  <si>
    <t xml:space="preserve">CAND_0009691</t>
  </si>
  <si>
    <t xml:space="preserve">Applied ML Engineer with 6.2 yrs exp; 9 AI/ML core skills; recruiter response rate 0.64; TITLE_MATCH; MULTI_AI_ROLE</t>
  </si>
  <si>
    <t xml:space="preserve">CAND_0010149</t>
  </si>
  <si>
    <t xml:space="preserve">ML Engineer  [TITLE_MATCH]</t>
  </si>
  <si>
    <t xml:space="preserve">ML Engineer with 6.9 yrs exp; 6 AI/ML core skills; recruiter response rate 0.82; TITLE_MATCH</t>
  </si>
  <si>
    <t xml:space="preserve">CAND_0010257</t>
  </si>
  <si>
    <t xml:space="preserve">Senior Data Scientist  [TITLE_MATCH · PRODUCT_CO_EXP]</t>
  </si>
  <si>
    <t xml:space="preserve">Senior Data Scientist with 6.5 yrs exp; 7 AI/ML core skills; recruiter response rate 0.72; TITLE_MATCH; PRODUCT_CO_EXP</t>
  </si>
  <si>
    <t xml:space="preserve">CAND_0010408</t>
  </si>
  <si>
    <t xml:space="preserve">Junior ML Engineer with 5.7 yrs exp; 5 AI/ML core skills; recruiter response rate 0.36; TITLE_MATCH; PRODUCT_CO_EXP</t>
  </si>
  <si>
    <t xml:space="preserve">CAND_0010541</t>
  </si>
  <si>
    <t xml:space="preserve">AI Research Engineer  [TITLE_MATCH]</t>
  </si>
  <si>
    <t xml:space="preserve">AI Research Engineer with 6.2 yrs exp; 7 AI/ML core skills; recruiter response rate 0.59; TITLE_MATCH</t>
  </si>
  <si>
    <t xml:space="preserve">CAND_0010603</t>
  </si>
  <si>
    <t xml:space="preserve">ML Engineer with 5.3 yrs exp; 5 AI/ML core skills; recruiter response rate 0.94; TITLE_MATCH</t>
  </si>
  <si>
    <t xml:space="preserve">CAND_0010685</t>
  </si>
  <si>
    <t xml:space="preserve">NLP Engineer with 6.7 yrs exp; 5 AI/ML core skills; recruiter response rate 0.83; TITLE_MATCH; MULTI_AI_ROLE</t>
  </si>
  <si>
    <t xml:space="preserve">CAND_0011162</t>
  </si>
  <si>
    <t xml:space="preserve">Recommendation Systems Engineer with 5.8 yrs exp; 11 AI/ML core skills; recruiter response rate 0.75; TITLE_MATCH; PRODUCT_CO_EXP</t>
  </si>
  <si>
    <t xml:space="preserve">CAND_0011327</t>
  </si>
  <si>
    <t xml:space="preserve">AI Research Engineer with 6.3 yrs exp; 3 AI/ML core skills; recruiter response rate 0.79; TITLE_MATCH; PRODUCT_CO_EXP</t>
  </si>
  <si>
    <t xml:space="preserve">CAND_0011432</t>
  </si>
  <si>
    <t xml:space="preserve">Senior Data Scientist  [TITLE_MATCH · AI_EXP_4YR]</t>
  </si>
  <si>
    <t xml:space="preserve">Senior Data Scientist with 7.6 yrs exp; 5 AI/ML core skills; recruiter response rate 0.67; TITLE_MATCH; AI_EXP_4YR</t>
  </si>
  <si>
    <t xml:space="preserve">CAND_0011687</t>
  </si>
  <si>
    <t xml:space="preserve">Senior NLP Engineer with 7.8 yrs exp; 8 AI/ML core skills; recruiter response rate 0.89; TITLE_MATCH; MULTI_AI_ROLE</t>
  </si>
  <si>
    <t xml:space="preserve">CAND_0012805</t>
  </si>
  <si>
    <t xml:space="preserve">Data Scientist  [TITLE_MATCH · AI_EXP_4YR]</t>
  </si>
  <si>
    <t xml:space="preserve">Data Scientist with 4.9 yrs exp; 5 AI/ML core skills; recruiter response rate 0.83; TITLE_MATCH; AI_EXP_4YR</t>
  </si>
  <si>
    <t xml:space="preserve">CAND_0012837</t>
  </si>
  <si>
    <t xml:space="preserve">Junior ML Engineer with 6.4 yrs exp; 4 AI/ML core skills; recruiter response rate 0.81; TITLE_MATCH; PRODUCT_CO_EXP</t>
  </si>
  <si>
    <t xml:space="preserve">CAND_0012840</t>
  </si>
  <si>
    <t xml:space="preserve">Junior ML Engineer with 3.7 yrs exp; 5 AI/ML core skills; recruiter response rate 0.90; TITLE_MATCH; PRODUCT_CO_EXP</t>
  </si>
  <si>
    <t xml:space="preserve">CAND_0013393</t>
  </si>
  <si>
    <t xml:space="preserve">ML Engineer with 5.3 yrs exp; 8 AI/ML core skills; recruiter response rate 0.33; TITLE_MATCH; MULTI_AI_ROLE</t>
  </si>
  <si>
    <t xml:space="preserve">CAND_0013613</t>
  </si>
  <si>
    <t xml:space="preserve">Machine Learning Engineer with 4.7 yrs exp; 7 AI/ML core skills; recruiter response rate 0.73; TITLE_MATCH; MULTI_AI_ROLE</t>
  </si>
  <si>
    <t xml:space="preserve">CAND_0014234</t>
  </si>
  <si>
    <t xml:space="preserve">Junior ML Engineer  [TITLE_MATCH]</t>
  </si>
  <si>
    <t xml:space="preserve">Junior ML Engineer with 5.4 yrs exp; 6 AI/ML core skills; recruiter response rate 0.49; TITLE_MATCH</t>
  </si>
  <si>
    <t xml:space="preserve">CAND_0014440</t>
  </si>
  <si>
    <t xml:space="preserve">Recommendation Systems Engineer with 6.4 yrs exp; 7 AI/ML core skills; recruiter response rate 0.64; TITLE_MATCH; MULTI_AI_ROLE</t>
  </si>
  <si>
    <t xml:space="preserve">CAND_0015057</t>
  </si>
  <si>
    <t xml:space="preserve">ML Engineer  [TITLE_MATCH · PRODUCT_CO_EXP]</t>
  </si>
  <si>
    <t xml:space="preserve">ML Engineer with 4.6 yrs exp; 7 AI/ML core skills; recruiter response rate 0.85; TITLE_MATCH; PRODUCT_CO_EXP</t>
  </si>
  <si>
    <t xml:space="preserve">CAND_0015065</t>
  </si>
  <si>
    <t xml:space="preserve">AI Research Engineer with 3.9 yrs exp; 5 AI/ML core skills; recruiter response rate 0.84; TITLE_MATCH; PRODUCT_CO_EXP</t>
  </si>
  <si>
    <t xml:space="preserve">CAND_0015493</t>
  </si>
  <si>
    <t xml:space="preserve">Data Scientist with 6.4 yrs exp; 6 AI/ML core skills; recruiter response rate 0.30; TITLE_MATCH; PRODUCT_CO_EXP</t>
  </si>
  <si>
    <t xml:space="preserve">CAND_0015578</t>
  </si>
  <si>
    <t xml:space="preserve">AI Engineer  [TITLE_MATCH · MULTI_AI_ROLE]</t>
  </si>
  <si>
    <t xml:space="preserve">AI Engineer with 5.4 yrs exp; 10 AI/ML core skills; recruiter response rate 0.65; TITLE_MATCH; MULTI_AI_ROLE</t>
  </si>
  <si>
    <t xml:space="preserve">CAND_0015582</t>
  </si>
  <si>
    <t xml:space="preserve">ML Engineer with 4.4 yrs exp; 8 AI/ML core skills; recruiter response rate 0.82; TITLE_MATCH</t>
  </si>
  <si>
    <t xml:space="preserve">CAND_0016163</t>
  </si>
  <si>
    <t xml:space="preserve">Applied ML Engineer  [TITLE_MATCH]</t>
  </si>
  <si>
    <t xml:space="preserve">Applied ML Engineer with 6.7 yrs exp; 8 AI/ML core skills; recruiter response rate 0.72; TITLE_MATCH</t>
  </si>
  <si>
    <t xml:space="preserve">CAND_0016432</t>
  </si>
  <si>
    <t xml:space="preserve">AI Research Engineer  [TITLE_MATCH · MULTI_AI_ROLE]</t>
  </si>
  <si>
    <t xml:space="preserve">AI Research Engineer with 4.6 yrs exp; 6 AI/ML core skills; recruiter response rate 0.60; TITLE_MATCH; MULTI_AI_ROLE</t>
  </si>
  <si>
    <t xml:space="preserve">CAND_0016659</t>
  </si>
  <si>
    <t xml:space="preserve">ML Engineer with 4.4 yrs exp; 7 AI/ML core skills; recruiter response rate 0.89; TITLE_MATCH</t>
  </si>
  <si>
    <t xml:space="preserve">CAND_0017178</t>
  </si>
  <si>
    <t xml:space="preserve">ML Engineer with 4.2 yrs exp; 5 AI/ML core skills; recruiter response rate 0.85; TITLE_MATCH; PRODUCT_CO_EXP</t>
  </si>
  <si>
    <t xml:space="preserve">CAND_0017722</t>
  </si>
  <si>
    <t xml:space="preserve">Data Scientist  [TITLE_MATCH]</t>
  </si>
  <si>
    <t xml:space="preserve">Data Scientist with 5.7 yrs exp; 6 AI/ML core skills; recruiter response rate 0.60; TITLE_MATCH</t>
  </si>
  <si>
    <t xml:space="preserve">CAND_0017960</t>
  </si>
  <si>
    <t xml:space="preserve">Recommendation Systems Engineer with 7.7 yrs exp; 7 AI/ML core skills; recruiter response rate 0.72; TITLE_MATCH; PRODUCT_CO_EXP</t>
  </si>
  <si>
    <t xml:space="preserve">CAND_0018094</t>
  </si>
  <si>
    <t xml:space="preserve">ML Engineer with 5.2 yrs exp; 5 AI/ML core skills; recruiter response rate 0.69; TITLE_MATCH</t>
  </si>
  <si>
    <t xml:space="preserve">CAND_0018499</t>
  </si>
  <si>
    <t xml:space="preserve">Senior Machine Learning Engineer  [TITLE_MATCH · MULTI_AI_ROLE]</t>
  </si>
  <si>
    <t xml:space="preserve">Senior Machine Learning Engineer with 7.2 yrs exp; 12 AI/ML core skills; recruiter response rate 0.61; TITLE_MATCH; MULTI_AI_ROLE</t>
  </si>
  <si>
    <t xml:space="preserve">CAND_0018549</t>
  </si>
  <si>
    <t xml:space="preserve">Recommendation Systems Engineer with 6.8 yrs exp; 7 AI/ML core skills; recruiter response rate 0.73; TITLE_MATCH; MULTI_AI_ROLE</t>
  </si>
  <si>
    <t xml:space="preserve">CAND_0018701</t>
  </si>
  <si>
    <t xml:space="preserve">Junior ML Engineer with 6.0 yrs exp; 5 AI/ML core skills; recruiter response rate 0.71; TITLE_MATCH; PRODUCT_CO_EXP</t>
  </si>
  <si>
    <t xml:space="preserve">CAND_0018722</t>
  </si>
  <si>
    <t xml:space="preserve">Recommendation Systems Engineer with 6.6 yrs exp; 7 AI/ML core skills; recruiter response rate 0.79; TITLE_MATCH; MULTI_AI_ROLE</t>
  </si>
  <si>
    <t xml:space="preserve">CAND_0019159</t>
  </si>
  <si>
    <t xml:space="preserve">ML Engineer with 6.1 yrs exp; 8 AI/ML core skills; recruiter response rate 0.75; TITLE_MATCH; MULTI_AI_ROLE</t>
  </si>
  <si>
    <t xml:space="preserve">CAND_0019288</t>
  </si>
  <si>
    <t xml:space="preserve">AI Research Engineer with 5.7 yrs exp; 4 AI/ML core skills; recruiter response rate 0.38; TITLE_MATCH; PRODUCT_CO_EXP</t>
  </si>
  <si>
    <t xml:space="preserve">CAND_0019480</t>
  </si>
  <si>
    <t xml:space="preserve">NLP Engineer  [TITLE_MATCH · AI_EXP_4YR]</t>
  </si>
  <si>
    <t xml:space="preserve">NLP Engineer with 2.8 yrs exp; 4 AI/ML core skills; recruiter response rate 0.87; TITLE_MATCH; AI_EXP_4YR</t>
  </si>
  <si>
    <t xml:space="preserve">CAND_0020350</t>
  </si>
  <si>
    <t xml:space="preserve">AI Engineer  [TITLE_MATCH · PRODUCT_CO_EXP]</t>
  </si>
  <si>
    <t xml:space="preserve">AI Engineer with 5.8 yrs exp; 8 AI/ML core skills; recruiter response rate 0.58; TITLE_MATCH; PRODUCT_CO_EXP</t>
  </si>
  <si>
    <t xml:space="preserve">CAND_0020708</t>
  </si>
  <si>
    <t xml:space="preserve">Search Engineer  [TITLE_MATCH · AI_EXP_4YR]</t>
  </si>
  <si>
    <t xml:space="preserve">Search Engineer with 4.2 yrs exp; 9 AI/ML core skills; recruiter response rate 0.84; TITLE_MATCH; AI_EXP_4YR</t>
  </si>
  <si>
    <t xml:space="preserve">CAND_0020845</t>
  </si>
  <si>
    <t xml:space="preserve">AI Research Engineer with 7.0 yrs exp; 5 AI/ML core skills; recruiter response rate 0.35; TITLE_MATCH; MULTI_AI_ROLE</t>
  </si>
  <si>
    <t xml:space="preserve">CAND_0020877</t>
  </si>
  <si>
    <t xml:space="preserve">Applied ML Engineer with 5.1 yrs exp; 11 AI/ML core skills; recruiter response rate 0.66; TITLE_MATCH; MULTI_AI_ROLE</t>
  </si>
  <si>
    <t xml:space="preserve">CAND_0020991</t>
  </si>
  <si>
    <t xml:space="preserve">Junior ML Engineer with 4.9 yrs exp; 7 AI/ML core skills; recruiter response rate 0.88; TITLE_MATCH; PRODUCT_CO_EXP</t>
  </si>
  <si>
    <t xml:space="preserve">CAND_0021836</t>
  </si>
  <si>
    <t xml:space="preserve">ML Engineer with 6.5 yrs exp; 7 AI/ML core skills; recruiter response rate 0.25; TITLE_MATCH; MULTI_AI_ROLE</t>
  </si>
  <si>
    <t xml:space="preserve">CAND_0024147</t>
  </si>
  <si>
    <t xml:space="preserve">ML Engineer with 5.9 yrs exp; 5 AI/ML core skills; recruiter response rate 0.84; TITLE_MATCH; PRODUCT_CO_EXP</t>
  </si>
  <si>
    <t xml:space="preserve">CAND_0024990</t>
  </si>
  <si>
    <t xml:space="preserve">Junior ML Engineer with 5.2 yrs exp; 6 AI/ML core skills; recruiter response rate 0.83; TITLE_MATCH; PRODUCT_CO_EXP</t>
  </si>
  <si>
    <t xml:space="preserve">CAND_0025335</t>
  </si>
  <si>
    <t xml:space="preserve">Data Scientist  [TITLE_MATCH · MULTI_AI_ROLE]</t>
  </si>
  <si>
    <t xml:space="preserve">Data Scientist with 6.6 yrs exp; 7 AI/ML core skills; recruiter response rate 0.39; TITLE_MATCH; MULTI_AI_ROLE</t>
  </si>
  <si>
    <t xml:space="preserve">CAND_0025640</t>
  </si>
  <si>
    <t xml:space="preserve">AI Research Engineer with 5.6 yrs exp; 8 AI/ML core skills; recruiter response rate 0.87; TITLE_MATCH</t>
  </si>
  <si>
    <t xml:space="preserve">CAND_0025882</t>
  </si>
  <si>
    <t xml:space="preserve">Senior Software Engineer (ML)  [TITLE_MATCH · PRODUCT_CO_EXP]</t>
  </si>
  <si>
    <t xml:space="preserve">Senior Software Engineer (ML) with 5.6 yrs exp; 5 AI/ML core skills; recruiter response rate 0.79; TITLE_MATCH; PRODUCT_CO_EXP</t>
  </si>
  <si>
    <t xml:space="preserve">CAND_0026362</t>
  </si>
  <si>
    <t xml:space="preserve">Data Scientist with 5.0 yrs exp; 4 AI/ML core skills; recruiter response rate 0.40; TITLE_MATCH; PRODUCT_CO_EXP</t>
  </si>
  <si>
    <t xml:space="preserve">CAND_0026532</t>
  </si>
  <si>
    <t xml:space="preserve">Recommendation Systems Engineer with 4.8 yrs exp; 8 AI/ML core skills; recruiter response rate 0.52; TITLE_MATCH; MULTI_AI_ROLE</t>
  </si>
  <si>
    <t xml:space="preserve">CAND_0026942</t>
  </si>
  <si>
    <t xml:space="preserve">Junior ML Engineer  [TITLE_MATCH · AI_EXP_4YR]</t>
  </si>
  <si>
    <t xml:space="preserve">Junior ML Engineer with 6.0 yrs exp; 5 AI/ML core skills; recruiter response rate 0.84; TITLE_MATCH; AI_EXP_4YR</t>
  </si>
  <si>
    <t xml:space="preserve">CAND_0027691</t>
  </si>
  <si>
    <t xml:space="preserve">NLP Engineer  [TITLE_MATCH]</t>
  </si>
  <si>
    <t xml:space="preserve">NLP Engineer with 6.5 yrs exp; 11 AI/ML core skills; recruiter response rate 0.68; TITLE_MATCH</t>
  </si>
  <si>
    <t xml:space="preserve">CAND_0027801</t>
  </si>
  <si>
    <t xml:space="preserve">NLP Engineer with 7.4 yrs exp; 8 AI/ML core skills; recruiter response rate 0.65; TITLE_MATCH; MULTI_AI_ROLE</t>
  </si>
  <si>
    <t xml:space="preserve">CAND_0028793</t>
  </si>
  <si>
    <t xml:space="preserve">Search Engineer with 7.2 yrs exp; 8 AI/ML core skills; recruiter response rate 0.57; TITLE_MATCH; MULTI_AI_ROLE</t>
  </si>
  <si>
    <t xml:space="preserve">CAND_0029367</t>
  </si>
  <si>
    <t xml:space="preserve">Senior Data Scientist with 5.7 yrs exp; 10 AI/ML core skills; recruiter response rate 0.77; TITLE_MATCH; MULTI_AI_ROLE</t>
  </si>
  <si>
    <t xml:space="preserve">CAND_0030031</t>
  </si>
  <si>
    <t xml:space="preserve">AI Engineer with 5.7 yrs exp; 12 AI/ML core skills; recruiter response rate 0.94; TITLE_MATCH; PRODUCT_CO_EXP</t>
  </si>
  <si>
    <t xml:space="preserve">CAND_0030348</t>
  </si>
  <si>
    <t xml:space="preserve">Machine Learning Engineer with 4.5 yrs exp; 6 AI/ML core skills; recruiter response rate 0.54; TITLE_MATCH; MULTI_AI_ROLE</t>
  </si>
  <si>
    <t xml:space="preserve">CAND_0030468</t>
  </si>
  <si>
    <t xml:space="preserve">Senior Applied Scientist  [TITLE_MATCH · PRODUCT_CO_EXP]</t>
  </si>
  <si>
    <t xml:space="preserve">Senior Applied Scientist with 5.4 yrs exp; 8 AI/ML core skills; recruiter response rate 0.78; TITLE_MATCH; PRODUCT_CO_EXP</t>
  </si>
  <si>
    <t xml:space="preserve">CAND_0030784</t>
  </si>
  <si>
    <t xml:space="preserve">Data Scientist with 4.4 yrs exp; 8 AI/ML core skills; recruiter response rate 0.90; TITLE_MATCH</t>
  </si>
  <si>
    <t xml:space="preserve">CAND_0030946</t>
  </si>
  <si>
    <t xml:space="preserve">Junior ML Engineer  [TITLE_MATCH · MULTI_AI_ROLE]</t>
  </si>
  <si>
    <t xml:space="preserve">Junior ML Engineer with 6.7 yrs exp; 7 AI/ML core skills; recruiter response rate 0.38; TITLE_MATCH; MULTI_AI_ROLE</t>
  </si>
  <si>
    <t xml:space="preserve">CAND_0030953</t>
  </si>
  <si>
    <t xml:space="preserve">Search Engineer with 7.8 yrs exp; 6 AI/ML core skills; recruiter response rate 0.63; TITLE_MATCH; MULTI_AI_ROLE</t>
  </si>
  <si>
    <t xml:space="preserve">CAND_0031143</t>
  </si>
  <si>
    <t xml:space="preserve">ML Engineer with 5.5 yrs exp; 4 AI/ML core skills; recruiter response rate 0.84; TITLE_MATCH; MULTI_AI_ROLE</t>
  </si>
  <si>
    <t xml:space="preserve">CAND_0031593</t>
  </si>
  <si>
    <t xml:space="preserve">Search Engineer with 7.8 yrs exp; 5 AI/ML core skills; recruiter response rate 0.58; TITLE_MATCH; MULTI_AI_ROLE</t>
  </si>
  <si>
    <t xml:space="preserve">CAND_0031752</t>
  </si>
  <si>
    <t xml:space="preserve">ML Engineer with 5.0 yrs exp; 5 AI/ML core skills; recruiter response rate 0.82; TITLE_MATCH; MULTI_AI_ROLE</t>
  </si>
  <si>
    <t xml:space="preserve">CAND_0032216</t>
  </si>
  <si>
    <t xml:space="preserve">ML Engineer with 6.1 yrs exp; 8 AI/ML core skills; recruiter response rate 0.35; TITLE_MATCH; PRODUCT_CO_EXP</t>
  </si>
  <si>
    <t xml:space="preserve">CAND_0032515</t>
  </si>
  <si>
    <t xml:space="preserve">Machine Learning Engineer with 5.1 yrs exp; 10 AI/ML core skills; recruiter response rate 0.54; TITLE_MATCH; PRODUCT_CO_EXP</t>
  </si>
  <si>
    <t xml:space="preserve">CAND_0033179</t>
  </si>
  <si>
    <t xml:space="preserve">AI Research Engineer with 6.9 yrs exp; 6 AI/ML core skills; recruiter response rate 0.84; TITLE_MATCH; AI_EXP_4YR</t>
  </si>
  <si>
    <t xml:space="preserve">CAND_0033350</t>
  </si>
  <si>
    <t xml:space="preserve">Data Scientist with 6.2 yrs exp; 4 AI/ML core skills; recruiter response rate 0.85; TITLE_MATCH; MULTI_AI_ROLE</t>
  </si>
  <si>
    <t xml:space="preserve">CAND_0033445</t>
  </si>
  <si>
    <t xml:space="preserve">ML Engineer with 6.8 yrs exp; 6 AI/ML core skills; recruiter response rate 0.94; TITLE_MATCH; MULTI_AI_ROLE</t>
  </si>
  <si>
    <t xml:space="preserve">CAND_0033649</t>
  </si>
  <si>
    <t xml:space="preserve">Data Scientist with 5.3 yrs exp; 7 AI/ML core skills; recruiter response rate 0.77; TITLE_MATCH; MULTI_AI_ROLE</t>
  </si>
  <si>
    <t xml:space="preserve">CAND_0033842</t>
  </si>
  <si>
    <t xml:space="preserve">Senior Software Engineer (ML)  [TITLE_MATCH · MULTI_AI_ROLE]</t>
  </si>
  <si>
    <t xml:space="preserve">Senior Software Engineer (ML) with 5.8 yrs exp; 5 AI/ML core skills; recruiter response rate 0.34; TITLE_MATCH; MULTI_AI_ROLE</t>
  </si>
  <si>
    <t xml:space="preserve">CAND_0034164</t>
  </si>
  <si>
    <t xml:space="preserve">Data Scientist with 3.6 yrs exp; 7 AI/ML core skills; recruiter response rate 0.84; TITLE_MATCH</t>
  </si>
  <si>
    <t xml:space="preserve">CAND_0036184</t>
  </si>
  <si>
    <t xml:space="preserve">Recommendation Systems Engineer with 6.0 yrs exp; 9 AI/ML core skills; recruiter response rate 0.90; TITLE_MATCH; MULTI_AI_ROLE</t>
  </si>
  <si>
    <t xml:space="preserve">CAND_0036437</t>
  </si>
  <si>
    <t xml:space="preserve">Search Engineer  [TITLE_MATCH · PRODUCT_CO_EXP]</t>
  </si>
  <si>
    <t xml:space="preserve">Search Engineer with 4.8 yrs exp; 7 AI/ML core skills; recruiter response rate 0.87; TITLE_MATCH; PRODUCT_CO_EXP</t>
  </si>
  <si>
    <t xml:space="preserve">CAND_0036863</t>
  </si>
  <si>
    <t xml:space="preserve">Senior Data Scientist with 4.3 yrs exp; 5 AI/ML core skills; recruiter response rate 0.46; TITLE_MATCH; MULTI_AI_ROLE</t>
  </si>
  <si>
    <t xml:space="preserve">CAND_0037000</t>
  </si>
  <si>
    <t xml:space="preserve">Search Engineer with 2.7 yrs exp; 8 AI/ML core skills; recruiter response rate 0.61; TITLE_MATCH; PRODUCT_CO_EXP</t>
  </si>
  <si>
    <t xml:space="preserve">CAND_0037566</t>
  </si>
  <si>
    <t xml:space="preserve">Machine Learning Engineer with 6.9 yrs exp; 7 AI/ML core skills; recruiter response rate 0.50; TITLE_MATCH; MULTI_AI_ROLE</t>
  </si>
  <si>
    <t xml:space="preserve">CAND_0037980</t>
  </si>
  <si>
    <t xml:space="preserve">Senior Applied Scientist  [TITLE_MATCH]</t>
  </si>
  <si>
    <t xml:space="preserve">Senior Applied Scientist with 9.0 yrs exp; 9 AI/ML core skills; recruiter response rate 0.63; TITLE_MATCH</t>
  </si>
  <si>
    <t xml:space="preserve">📊 RAWCRUIT — Candidate Pool Summary</t>
  </si>
  <si>
    <t xml:space="preserve">Auto-computed from Rankings sheet · Team Lazy4</t>
  </si>
  <si>
    <t xml:space="preserve">Total Candidates</t>
  </si>
  <si>
    <t xml:space="preserve">Highest Score</t>
  </si>
  <si>
    <t xml:space="preserve">Lowest Score</t>
  </si>
  <si>
    <t xml:space="preserve">Average Score</t>
  </si>
  <si>
    <t xml:space="preserve">Median Score</t>
  </si>
  <si>
    <t xml:space="preserve">Score Range</t>
  </si>
  <si>
    <t xml:space="preserve">Score Distribution — Rank Bands</t>
  </si>
  <si>
    <t xml:space="preserve">Band</t>
  </si>
  <si>
    <t xml:space="preserve">Rank Range</t>
  </si>
  <si>
    <t xml:space="preserve">Min Score</t>
  </si>
  <si>
    <t xml:space="preserve">Max Score</t>
  </si>
  <si>
    <t xml:space="preserve">Count</t>
  </si>
  <si>
    <t xml:space="preserve">Elite</t>
  </si>
  <si>
    <t xml:space="preserve">#1–#10</t>
  </si>
  <si>
    <t xml:space="preserve">Top</t>
  </si>
  <si>
    <t xml:space="preserve">#11–#25</t>
  </si>
  <si>
    <t xml:space="preserve">Strong</t>
  </si>
  <si>
    <t xml:space="preserve">#26–#50</t>
  </si>
  <si>
    <t xml:space="preserve">Good</t>
  </si>
  <si>
    <t xml:space="preserve">#51–#75</t>
  </si>
  <si>
    <t xml:space="preserve">Solid</t>
  </si>
  <si>
    <t xml:space="preserve">#76–#100</t>
  </si>
  <si>
    <t xml:space="preserve">⭐ Top 10 Candidates</t>
  </si>
  <si>
    <t xml:space="preserve">Key Signals</t>
  </si>
  <si>
    <t xml:space="preserve">TITLE_MATCH · PRODUCT_CO_EXP</t>
  </si>
  <si>
    <t xml:space="preserve">TITLE_MATCH · MULTI_AI_ROLE</t>
  </si>
  <si>
    <t xml:space="preserve">TITLE_MATCH · AI_EXP_4YR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</si>
</sst>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\%"/>
    <numFmt numFmtId="167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93C5F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D1B4B"/>
      <name val="Arial"/>
      <family val="0"/>
      <charset val="1"/>
    </font>
    <font>
      <b val="true"/>
      <sz val="9"/>
      <color rgb="FF0F1A2E"/>
      <name val="Arial"/>
      <family val="0"/>
      <charset val="1"/>
    </font>
    <font>
      <b val="true"/>
      <sz val="10"/>
      <color rgb="FF0F1A2E"/>
      <name val="Arial"/>
      <family val="0"/>
      <charset val="1"/>
    </font>
    <font>
      <b val="true"/>
      <sz val="10"/>
      <color rgb="FF1E64FF"/>
      <name val="Arial"/>
      <family val="0"/>
      <charset val="1"/>
    </font>
    <font>
      <sz val="9"/>
      <color rgb="FF0F1A2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93C5FD"/>
      <name val="Arial"/>
      <family val="0"/>
      <charset val="1"/>
    </font>
    <font>
      <b val="true"/>
      <sz val="10"/>
      <color rgb="FF4A6090"/>
      <name val="Arial"/>
      <family val="0"/>
      <charset val="1"/>
    </font>
    <font>
      <b val="true"/>
      <sz val="12"/>
      <color rgb="FF1E64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D1B4B"/>
      <name val="Arial"/>
      <family val="0"/>
      <charset val="1"/>
    </font>
    <font>
      <sz val="9"/>
      <color rgb="FF0D1B4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B4B"/>
        <bgColor rgb="FF0F1A2E"/>
      </patternFill>
    </fill>
    <fill>
      <patternFill patternType="solid">
        <fgColor rgb="FF1E3A8A"/>
        <bgColor rgb="FF333333"/>
      </patternFill>
    </fill>
    <fill>
      <patternFill patternType="solid">
        <fgColor rgb="FF1E64FF"/>
        <bgColor rgb="FF0066CC"/>
      </patternFill>
    </fill>
    <fill>
      <patternFill patternType="solid">
        <fgColor rgb="FFF59E0B"/>
        <bgColor rgb="FFFFCC00"/>
      </patternFill>
    </fill>
    <fill>
      <patternFill patternType="solid">
        <fgColor rgb="FFFFFFFF"/>
        <bgColor rgb="FFF8FAFF"/>
      </patternFill>
    </fill>
    <fill>
      <patternFill patternType="solid">
        <fgColor rgb="FF94A3B8"/>
        <bgColor rgb="FFC0C0C0"/>
      </patternFill>
    </fill>
    <fill>
      <patternFill patternType="solid">
        <fgColor rgb="FFF8FAFF"/>
        <bgColor rgb="FFFFFFFF"/>
      </patternFill>
    </fill>
    <fill>
      <patternFill patternType="solid">
        <fgColor rgb="FFB45309"/>
        <bgColor rgb="FF993366"/>
      </patternFill>
    </fill>
    <fill>
      <patternFill patternType="solid">
        <fgColor rgb="FFEEF2FF"/>
        <bgColor rgb="FFF8FAFF"/>
      </patternFill>
    </fill>
    <fill>
      <patternFill patternType="solid">
        <fgColor rgb="FF60B0FF"/>
        <bgColor rgb="FF93C5FD"/>
      </patternFill>
    </fill>
    <fill>
      <patternFill patternType="solid">
        <fgColor rgb="FF93C5FD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0B0FF"/>
      <rgbColor rgb="FF993366"/>
      <rgbColor rgb="FFF8FAFF"/>
      <rgbColor rgb="FFEEF2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5FD"/>
      <rgbColor rgb="FFFF99CC"/>
      <rgbColor rgb="FFCC99FF"/>
      <rgbColor rgb="FFFFCC99"/>
      <rgbColor rgb="FF1E64FF"/>
      <rgbColor rgb="FF33CCCC"/>
      <rgbColor rgb="FF99CC00"/>
      <rgbColor rgb="FFFFCC00"/>
      <rgbColor rgb="FFF59E0B"/>
      <rgbColor rgb="FFFF6600"/>
      <rgbColor rgb="FF4A6090"/>
      <rgbColor rgb="FF94A3B8"/>
      <rgbColor rgb="FF0D1B4B"/>
      <rgbColor rgb="FF339966"/>
      <rgbColor rgb="FF0F1A2E"/>
      <rgbColor rgb="FF333300"/>
      <rgbColor rgb="FFB45309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48"/>
    <col collapsed="false" customWidth="true" hidden="false" outlineLevel="0" max="6" min="6" style="0" width="80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25.5" hidden="false" customHeight="true" outlineLevel="0" collapsed="false">
      <c r="A4" s="4" t="n">
        <v>1</v>
      </c>
      <c r="B4" s="4" t="s">
        <v>8</v>
      </c>
      <c r="C4" s="5" t="n">
        <v>0.9999</v>
      </c>
      <c r="D4" s="6" t="n">
        <f aca="false">C4*100</f>
        <v>99.99</v>
      </c>
      <c r="E4" s="7" t="s">
        <v>9</v>
      </c>
      <c r="F4" s="7" t="s">
        <v>10</v>
      </c>
    </row>
    <row r="5" customFormat="false" ht="25.5" hidden="false" customHeight="true" outlineLevel="0" collapsed="false">
      <c r="A5" s="8" t="n">
        <v>2</v>
      </c>
      <c r="B5" s="8" t="s">
        <v>11</v>
      </c>
      <c r="C5" s="9" t="n">
        <v>0.9979</v>
      </c>
      <c r="D5" s="10" t="n">
        <f aca="false">C5*100</f>
        <v>99.79</v>
      </c>
      <c r="E5" s="11" t="s">
        <v>12</v>
      </c>
      <c r="F5" s="11" t="s">
        <v>13</v>
      </c>
    </row>
    <row r="6" customFormat="false" ht="25.5" hidden="false" customHeight="true" outlineLevel="0" collapsed="false">
      <c r="A6" s="12" t="n">
        <v>3</v>
      </c>
      <c r="B6" s="12" t="s">
        <v>14</v>
      </c>
      <c r="C6" s="13" t="n">
        <v>0.996</v>
      </c>
      <c r="D6" s="14" t="n">
        <f aca="false">C6*100</f>
        <v>99.6</v>
      </c>
      <c r="E6" s="7" t="s">
        <v>15</v>
      </c>
      <c r="F6" s="7" t="s">
        <v>16</v>
      </c>
    </row>
    <row r="7" customFormat="false" ht="25.5" hidden="false" customHeight="true" outlineLevel="0" collapsed="false">
      <c r="A7" s="15" t="n">
        <v>4</v>
      </c>
      <c r="B7" s="15" t="s">
        <v>17</v>
      </c>
      <c r="C7" s="16" t="n">
        <v>0.994</v>
      </c>
      <c r="D7" s="17" t="n">
        <f aca="false">C7*100</f>
        <v>99.4</v>
      </c>
      <c r="E7" s="11" t="s">
        <v>18</v>
      </c>
      <c r="F7" s="11" t="s">
        <v>19</v>
      </c>
    </row>
    <row r="8" customFormat="false" ht="25.5" hidden="false" customHeight="true" outlineLevel="0" collapsed="false">
      <c r="A8" s="18" t="n">
        <v>5</v>
      </c>
      <c r="B8" s="18" t="s">
        <v>20</v>
      </c>
      <c r="C8" s="19" t="n">
        <v>0.9921</v>
      </c>
      <c r="D8" s="20" t="n">
        <f aca="false">C8*100</f>
        <v>99.21</v>
      </c>
      <c r="E8" s="7" t="s">
        <v>21</v>
      </c>
      <c r="F8" s="7" t="s">
        <v>22</v>
      </c>
    </row>
    <row r="9" customFormat="false" ht="25.5" hidden="false" customHeight="true" outlineLevel="0" collapsed="false">
      <c r="A9" s="15" t="n">
        <v>6</v>
      </c>
      <c r="B9" s="15" t="s">
        <v>23</v>
      </c>
      <c r="C9" s="16" t="n">
        <v>0.9902</v>
      </c>
      <c r="D9" s="17" t="n">
        <f aca="false">C9*100</f>
        <v>99.02</v>
      </c>
      <c r="E9" s="11" t="s">
        <v>24</v>
      </c>
      <c r="F9" s="11" t="s">
        <v>25</v>
      </c>
    </row>
    <row r="10" customFormat="false" ht="25.5" hidden="false" customHeight="true" outlineLevel="0" collapsed="false">
      <c r="A10" s="18" t="n">
        <v>7</v>
      </c>
      <c r="B10" s="18" t="s">
        <v>26</v>
      </c>
      <c r="C10" s="19" t="n">
        <v>0.9882</v>
      </c>
      <c r="D10" s="20" t="n">
        <f aca="false">C10*100</f>
        <v>98.82</v>
      </c>
      <c r="E10" s="7" t="s">
        <v>27</v>
      </c>
      <c r="F10" s="7" t="s">
        <v>28</v>
      </c>
    </row>
    <row r="11" customFormat="false" ht="25.5" hidden="false" customHeight="true" outlineLevel="0" collapsed="false">
      <c r="A11" s="15" t="n">
        <v>8</v>
      </c>
      <c r="B11" s="15" t="s">
        <v>29</v>
      </c>
      <c r="C11" s="16" t="n">
        <v>0.9863</v>
      </c>
      <c r="D11" s="17" t="n">
        <f aca="false">C11*100</f>
        <v>98.63</v>
      </c>
      <c r="E11" s="11" t="s">
        <v>30</v>
      </c>
      <c r="F11" s="11" t="s">
        <v>31</v>
      </c>
    </row>
    <row r="12" customFormat="false" ht="25.5" hidden="false" customHeight="true" outlineLevel="0" collapsed="false">
      <c r="A12" s="18" t="n">
        <v>9</v>
      </c>
      <c r="B12" s="18" t="s">
        <v>32</v>
      </c>
      <c r="C12" s="19" t="n">
        <v>0.9844</v>
      </c>
      <c r="D12" s="20" t="n">
        <f aca="false">C12*100</f>
        <v>98.44</v>
      </c>
      <c r="E12" s="7" t="s">
        <v>33</v>
      </c>
      <c r="F12" s="7" t="s">
        <v>34</v>
      </c>
    </row>
    <row r="13" customFormat="false" ht="25.5" hidden="false" customHeight="true" outlineLevel="0" collapsed="false">
      <c r="A13" s="15" t="n">
        <v>10</v>
      </c>
      <c r="B13" s="15" t="s">
        <v>35</v>
      </c>
      <c r="C13" s="16" t="n">
        <v>0.9826</v>
      </c>
      <c r="D13" s="17" t="n">
        <f aca="false">C13*100</f>
        <v>98.26</v>
      </c>
      <c r="E13" s="11" t="s">
        <v>36</v>
      </c>
      <c r="F13" s="11" t="s">
        <v>37</v>
      </c>
    </row>
    <row r="14" customFormat="false" ht="25.5" hidden="false" customHeight="true" outlineLevel="0" collapsed="false">
      <c r="A14" s="21" t="n">
        <v>11</v>
      </c>
      <c r="B14" s="21" t="s">
        <v>38</v>
      </c>
      <c r="C14" s="22" t="n">
        <v>0.9807</v>
      </c>
      <c r="D14" s="20" t="n">
        <f aca="false">C14*100</f>
        <v>98.07</v>
      </c>
      <c r="E14" s="23" t="s">
        <v>39</v>
      </c>
      <c r="F14" s="23" t="s">
        <v>40</v>
      </c>
    </row>
    <row r="15" customFormat="false" ht="25.5" hidden="false" customHeight="true" outlineLevel="0" collapsed="false">
      <c r="A15" s="24" t="n">
        <v>12</v>
      </c>
      <c r="B15" s="24" t="s">
        <v>41</v>
      </c>
      <c r="C15" s="25" t="n">
        <v>0.9788</v>
      </c>
      <c r="D15" s="17" t="n">
        <f aca="false">C15*100</f>
        <v>97.88</v>
      </c>
      <c r="E15" s="26" t="s">
        <v>42</v>
      </c>
      <c r="F15" s="26" t="s">
        <v>43</v>
      </c>
    </row>
    <row r="16" customFormat="false" ht="25.5" hidden="false" customHeight="true" outlineLevel="0" collapsed="false">
      <c r="A16" s="21" t="n">
        <v>13</v>
      </c>
      <c r="B16" s="21" t="s">
        <v>44</v>
      </c>
      <c r="C16" s="22" t="n">
        <v>0.977</v>
      </c>
      <c r="D16" s="20" t="n">
        <f aca="false">C16*100</f>
        <v>97.7</v>
      </c>
      <c r="E16" s="23" t="s">
        <v>45</v>
      </c>
      <c r="F16" s="23" t="s">
        <v>46</v>
      </c>
    </row>
    <row r="17" customFormat="false" ht="25.5" hidden="false" customHeight="true" outlineLevel="0" collapsed="false">
      <c r="A17" s="24" t="n">
        <v>14</v>
      </c>
      <c r="B17" s="24" t="s">
        <v>47</v>
      </c>
      <c r="C17" s="25" t="n">
        <v>0.9751</v>
      </c>
      <c r="D17" s="17" t="n">
        <f aca="false">C17*100</f>
        <v>97.51</v>
      </c>
      <c r="E17" s="26" t="s">
        <v>48</v>
      </c>
      <c r="F17" s="26" t="s">
        <v>49</v>
      </c>
    </row>
    <row r="18" customFormat="false" ht="25.5" hidden="false" customHeight="true" outlineLevel="0" collapsed="false">
      <c r="A18" s="21" t="n">
        <v>15</v>
      </c>
      <c r="B18" s="21" t="s">
        <v>50</v>
      </c>
      <c r="C18" s="22" t="n">
        <v>0.9733</v>
      </c>
      <c r="D18" s="20" t="n">
        <f aca="false">C18*100</f>
        <v>97.33</v>
      </c>
      <c r="E18" s="23" t="s">
        <v>51</v>
      </c>
      <c r="F18" s="23" t="s">
        <v>52</v>
      </c>
    </row>
    <row r="19" customFormat="false" ht="25.5" hidden="false" customHeight="true" outlineLevel="0" collapsed="false">
      <c r="A19" s="24" t="n">
        <v>16</v>
      </c>
      <c r="B19" s="24" t="s">
        <v>53</v>
      </c>
      <c r="C19" s="25" t="n">
        <v>0.9715</v>
      </c>
      <c r="D19" s="17" t="n">
        <f aca="false">C19*100</f>
        <v>97.15</v>
      </c>
      <c r="E19" s="26" t="s">
        <v>54</v>
      </c>
      <c r="F19" s="26" t="s">
        <v>55</v>
      </c>
    </row>
    <row r="20" customFormat="false" ht="25.5" hidden="false" customHeight="true" outlineLevel="0" collapsed="false">
      <c r="A20" s="21" t="n">
        <v>17</v>
      </c>
      <c r="B20" s="21" t="s">
        <v>56</v>
      </c>
      <c r="C20" s="22" t="n">
        <v>0.9697</v>
      </c>
      <c r="D20" s="20" t="n">
        <f aca="false">C20*100</f>
        <v>96.97</v>
      </c>
      <c r="E20" s="23" t="s">
        <v>24</v>
      </c>
      <c r="F20" s="23" t="s">
        <v>57</v>
      </c>
    </row>
    <row r="21" customFormat="false" ht="25.5" hidden="false" customHeight="true" outlineLevel="0" collapsed="false">
      <c r="A21" s="24" t="n">
        <v>18</v>
      </c>
      <c r="B21" s="24" t="s">
        <v>58</v>
      </c>
      <c r="C21" s="25" t="n">
        <v>0.9679</v>
      </c>
      <c r="D21" s="17" t="n">
        <f aca="false">C21*100</f>
        <v>96.79</v>
      </c>
      <c r="E21" s="26" t="s">
        <v>59</v>
      </c>
      <c r="F21" s="26" t="s">
        <v>60</v>
      </c>
    </row>
    <row r="22" customFormat="false" ht="25.5" hidden="false" customHeight="true" outlineLevel="0" collapsed="false">
      <c r="A22" s="21" t="n">
        <v>19</v>
      </c>
      <c r="B22" s="21" t="s">
        <v>61</v>
      </c>
      <c r="C22" s="22" t="n">
        <v>0.9661</v>
      </c>
      <c r="D22" s="20" t="n">
        <f aca="false">C22*100</f>
        <v>96.61</v>
      </c>
      <c r="E22" s="23" t="s">
        <v>62</v>
      </c>
      <c r="F22" s="23" t="s">
        <v>63</v>
      </c>
    </row>
    <row r="23" customFormat="false" ht="25.5" hidden="false" customHeight="true" outlineLevel="0" collapsed="false">
      <c r="A23" s="24" t="n">
        <v>20</v>
      </c>
      <c r="B23" s="24" t="s">
        <v>64</v>
      </c>
      <c r="C23" s="25" t="n">
        <v>0.9644</v>
      </c>
      <c r="D23" s="17" t="n">
        <f aca="false">C23*100</f>
        <v>96.44</v>
      </c>
      <c r="E23" s="26" t="s">
        <v>27</v>
      </c>
      <c r="F23" s="26" t="s">
        <v>65</v>
      </c>
    </row>
    <row r="24" customFormat="false" ht="25.5" hidden="false" customHeight="true" outlineLevel="0" collapsed="false">
      <c r="A24" s="21" t="n">
        <v>21</v>
      </c>
      <c r="B24" s="21" t="s">
        <v>66</v>
      </c>
      <c r="C24" s="22" t="n">
        <v>0.9626</v>
      </c>
      <c r="D24" s="20" t="n">
        <f aca="false">C24*100</f>
        <v>96.26</v>
      </c>
      <c r="E24" s="23" t="s">
        <v>30</v>
      </c>
      <c r="F24" s="23" t="s">
        <v>67</v>
      </c>
    </row>
    <row r="25" customFormat="false" ht="25.5" hidden="false" customHeight="true" outlineLevel="0" collapsed="false">
      <c r="A25" s="24" t="n">
        <v>22</v>
      </c>
      <c r="B25" s="24" t="s">
        <v>68</v>
      </c>
      <c r="C25" s="25" t="n">
        <v>0.9609</v>
      </c>
      <c r="D25" s="17" t="n">
        <f aca="false">C25*100</f>
        <v>96.09</v>
      </c>
      <c r="E25" s="26" t="s">
        <v>69</v>
      </c>
      <c r="F25" s="26" t="s">
        <v>70</v>
      </c>
    </row>
    <row r="26" customFormat="false" ht="25.5" hidden="false" customHeight="true" outlineLevel="0" collapsed="false">
      <c r="A26" s="21" t="n">
        <v>23</v>
      </c>
      <c r="B26" s="21" t="s">
        <v>71</v>
      </c>
      <c r="C26" s="22" t="n">
        <v>0.9591</v>
      </c>
      <c r="D26" s="20" t="n">
        <f aca="false">C26*100</f>
        <v>95.91</v>
      </c>
      <c r="E26" s="23" t="s">
        <v>59</v>
      </c>
      <c r="F26" s="23" t="s">
        <v>72</v>
      </c>
    </row>
    <row r="27" customFormat="false" ht="25.5" hidden="false" customHeight="true" outlineLevel="0" collapsed="false">
      <c r="A27" s="24" t="n">
        <v>24</v>
      </c>
      <c r="B27" s="24" t="s">
        <v>73</v>
      </c>
      <c r="C27" s="25" t="n">
        <v>0.9574</v>
      </c>
      <c r="D27" s="17" t="n">
        <f aca="false">C27*100</f>
        <v>95.74</v>
      </c>
      <c r="E27" s="26" t="s">
        <v>74</v>
      </c>
      <c r="F27" s="26" t="s">
        <v>75</v>
      </c>
    </row>
    <row r="28" customFormat="false" ht="25.5" hidden="false" customHeight="true" outlineLevel="0" collapsed="false">
      <c r="A28" s="21" t="n">
        <v>25</v>
      </c>
      <c r="B28" s="21" t="s">
        <v>76</v>
      </c>
      <c r="C28" s="22" t="n">
        <v>0.9557</v>
      </c>
      <c r="D28" s="20" t="n">
        <f aca="false">C28*100</f>
        <v>95.57</v>
      </c>
      <c r="E28" s="23" t="s">
        <v>77</v>
      </c>
      <c r="F28" s="23" t="s">
        <v>78</v>
      </c>
    </row>
    <row r="29" customFormat="false" ht="25.5" hidden="false" customHeight="true" outlineLevel="0" collapsed="false">
      <c r="A29" s="24" t="n">
        <v>26</v>
      </c>
      <c r="B29" s="24" t="s">
        <v>79</v>
      </c>
      <c r="C29" s="25" t="n">
        <v>0.954</v>
      </c>
      <c r="D29" s="17" t="n">
        <f aca="false">C29*100</f>
        <v>95.4</v>
      </c>
      <c r="E29" s="26" t="s">
        <v>62</v>
      </c>
      <c r="F29" s="26" t="s">
        <v>80</v>
      </c>
    </row>
    <row r="30" customFormat="false" ht="25.5" hidden="false" customHeight="true" outlineLevel="0" collapsed="false">
      <c r="A30" s="21" t="n">
        <v>27</v>
      </c>
      <c r="B30" s="21" t="s">
        <v>81</v>
      </c>
      <c r="C30" s="22" t="n">
        <v>0.9523</v>
      </c>
      <c r="D30" s="20" t="n">
        <f aca="false">C30*100</f>
        <v>95.23</v>
      </c>
      <c r="E30" s="23" t="s">
        <v>82</v>
      </c>
      <c r="F30" s="23" t="s">
        <v>83</v>
      </c>
    </row>
    <row r="31" customFormat="false" ht="25.5" hidden="false" customHeight="true" outlineLevel="0" collapsed="false">
      <c r="A31" s="24" t="n">
        <v>28</v>
      </c>
      <c r="B31" s="24" t="s">
        <v>84</v>
      </c>
      <c r="C31" s="25" t="n">
        <v>0.9506</v>
      </c>
      <c r="D31" s="17" t="n">
        <f aca="false">C31*100</f>
        <v>95.06</v>
      </c>
      <c r="E31" s="26" t="s">
        <v>74</v>
      </c>
      <c r="F31" s="26" t="s">
        <v>85</v>
      </c>
    </row>
    <row r="32" customFormat="false" ht="25.5" hidden="false" customHeight="true" outlineLevel="0" collapsed="false">
      <c r="A32" s="21" t="n">
        <v>29</v>
      </c>
      <c r="B32" s="21" t="s">
        <v>86</v>
      </c>
      <c r="C32" s="22" t="n">
        <v>0.949</v>
      </c>
      <c r="D32" s="20" t="n">
        <f aca="false">C32*100</f>
        <v>94.9</v>
      </c>
      <c r="E32" s="23" t="s">
        <v>51</v>
      </c>
      <c r="F32" s="23" t="s">
        <v>87</v>
      </c>
    </row>
    <row r="33" customFormat="false" ht="25.5" hidden="false" customHeight="true" outlineLevel="0" collapsed="false">
      <c r="A33" s="24" t="n">
        <v>30</v>
      </c>
      <c r="B33" s="24" t="s">
        <v>88</v>
      </c>
      <c r="C33" s="25" t="n">
        <v>0.9473</v>
      </c>
      <c r="D33" s="17" t="n">
        <f aca="false">C33*100</f>
        <v>94.73</v>
      </c>
      <c r="E33" s="26" t="s">
        <v>9</v>
      </c>
      <c r="F33" s="26" t="s">
        <v>89</v>
      </c>
    </row>
    <row r="34" customFormat="false" ht="25.5" hidden="false" customHeight="true" outlineLevel="0" collapsed="false">
      <c r="A34" s="21" t="n">
        <v>31</v>
      </c>
      <c r="B34" s="21" t="s">
        <v>90</v>
      </c>
      <c r="C34" s="22" t="n">
        <v>0.9457</v>
      </c>
      <c r="D34" s="20" t="n">
        <f aca="false">C34*100</f>
        <v>94.57</v>
      </c>
      <c r="E34" s="23" t="s">
        <v>36</v>
      </c>
      <c r="F34" s="23" t="s">
        <v>91</v>
      </c>
    </row>
    <row r="35" customFormat="false" ht="25.5" hidden="false" customHeight="true" outlineLevel="0" collapsed="false">
      <c r="A35" s="24" t="n">
        <v>32</v>
      </c>
      <c r="B35" s="24" t="s">
        <v>92</v>
      </c>
      <c r="C35" s="25" t="n">
        <v>0.9441</v>
      </c>
      <c r="D35" s="17" t="n">
        <f aca="false">C35*100</f>
        <v>94.41</v>
      </c>
      <c r="E35" s="26" t="s">
        <v>93</v>
      </c>
      <c r="F35" s="26" t="s">
        <v>94</v>
      </c>
    </row>
    <row r="36" customFormat="false" ht="25.5" hidden="false" customHeight="true" outlineLevel="0" collapsed="false">
      <c r="A36" s="21" t="n">
        <v>33</v>
      </c>
      <c r="B36" s="21" t="s">
        <v>95</v>
      </c>
      <c r="C36" s="22" t="n">
        <v>0.9424</v>
      </c>
      <c r="D36" s="20" t="n">
        <f aca="false">C36*100</f>
        <v>94.24</v>
      </c>
      <c r="E36" s="23" t="s">
        <v>30</v>
      </c>
      <c r="F36" s="23" t="s">
        <v>96</v>
      </c>
    </row>
    <row r="37" customFormat="false" ht="25.5" hidden="false" customHeight="true" outlineLevel="0" collapsed="false">
      <c r="A37" s="24" t="n">
        <v>34</v>
      </c>
      <c r="B37" s="24" t="s">
        <v>97</v>
      </c>
      <c r="C37" s="25" t="n">
        <v>0.9408</v>
      </c>
      <c r="D37" s="17" t="n">
        <f aca="false">C37*100</f>
        <v>94.08</v>
      </c>
      <c r="E37" s="26" t="s">
        <v>98</v>
      </c>
      <c r="F37" s="26" t="s">
        <v>99</v>
      </c>
    </row>
    <row r="38" customFormat="false" ht="25.5" hidden="false" customHeight="true" outlineLevel="0" collapsed="false">
      <c r="A38" s="21" t="n">
        <v>35</v>
      </c>
      <c r="B38" s="21" t="s">
        <v>100</v>
      </c>
      <c r="C38" s="22" t="n">
        <v>0.9392</v>
      </c>
      <c r="D38" s="20" t="n">
        <f aca="false">C38*100</f>
        <v>93.92</v>
      </c>
      <c r="E38" s="23" t="s">
        <v>62</v>
      </c>
      <c r="F38" s="23" t="s">
        <v>101</v>
      </c>
    </row>
    <row r="39" customFormat="false" ht="25.5" hidden="false" customHeight="true" outlineLevel="0" collapsed="false">
      <c r="A39" s="24" t="n">
        <v>36</v>
      </c>
      <c r="B39" s="24" t="s">
        <v>102</v>
      </c>
      <c r="C39" s="25" t="n">
        <v>0.9377</v>
      </c>
      <c r="D39" s="17" t="n">
        <f aca="false">C39*100</f>
        <v>93.77</v>
      </c>
      <c r="E39" s="26" t="s">
        <v>62</v>
      </c>
      <c r="F39" s="26" t="s">
        <v>103</v>
      </c>
    </row>
    <row r="40" customFormat="false" ht="25.5" hidden="false" customHeight="true" outlineLevel="0" collapsed="false">
      <c r="A40" s="21" t="n">
        <v>37</v>
      </c>
      <c r="B40" s="21" t="s">
        <v>104</v>
      </c>
      <c r="C40" s="22" t="n">
        <v>0.9361</v>
      </c>
      <c r="D40" s="20" t="n">
        <f aca="false">C40*100</f>
        <v>93.61</v>
      </c>
      <c r="E40" s="23" t="s">
        <v>21</v>
      </c>
      <c r="F40" s="23" t="s">
        <v>105</v>
      </c>
    </row>
    <row r="41" customFormat="false" ht="25.5" hidden="false" customHeight="true" outlineLevel="0" collapsed="false">
      <c r="A41" s="24" t="n">
        <v>38</v>
      </c>
      <c r="B41" s="24" t="s">
        <v>106</v>
      </c>
      <c r="C41" s="25" t="n">
        <v>0.9345</v>
      </c>
      <c r="D41" s="17" t="n">
        <f aca="false">C41*100</f>
        <v>93.45</v>
      </c>
      <c r="E41" s="26" t="s">
        <v>12</v>
      </c>
      <c r="F41" s="26" t="s">
        <v>107</v>
      </c>
    </row>
    <row r="42" customFormat="false" ht="25.5" hidden="false" customHeight="true" outlineLevel="0" collapsed="false">
      <c r="A42" s="21" t="n">
        <v>39</v>
      </c>
      <c r="B42" s="21" t="s">
        <v>108</v>
      </c>
      <c r="C42" s="22" t="n">
        <v>0.933</v>
      </c>
      <c r="D42" s="20" t="n">
        <f aca="false">C42*100</f>
        <v>93.3</v>
      </c>
      <c r="E42" s="23" t="s">
        <v>109</v>
      </c>
      <c r="F42" s="23" t="s">
        <v>110</v>
      </c>
    </row>
    <row r="43" customFormat="false" ht="25.5" hidden="false" customHeight="true" outlineLevel="0" collapsed="false">
      <c r="A43" s="24" t="n">
        <v>40</v>
      </c>
      <c r="B43" s="24" t="s">
        <v>111</v>
      </c>
      <c r="C43" s="25" t="n">
        <v>0.9314</v>
      </c>
      <c r="D43" s="17" t="n">
        <f aca="false">C43*100</f>
        <v>93.14</v>
      </c>
      <c r="E43" s="26" t="s">
        <v>24</v>
      </c>
      <c r="F43" s="26" t="s">
        <v>112</v>
      </c>
    </row>
    <row r="44" customFormat="false" ht="25.5" hidden="false" customHeight="true" outlineLevel="0" collapsed="false">
      <c r="A44" s="21" t="n">
        <v>41</v>
      </c>
      <c r="B44" s="21" t="s">
        <v>113</v>
      </c>
      <c r="C44" s="22" t="n">
        <v>0.9299</v>
      </c>
      <c r="D44" s="20" t="n">
        <f aca="false">C44*100</f>
        <v>92.99</v>
      </c>
      <c r="E44" s="23" t="s">
        <v>114</v>
      </c>
      <c r="F44" s="23" t="s">
        <v>115</v>
      </c>
    </row>
    <row r="45" customFormat="false" ht="25.5" hidden="false" customHeight="true" outlineLevel="0" collapsed="false">
      <c r="A45" s="24" t="n">
        <v>42</v>
      </c>
      <c r="B45" s="24" t="s">
        <v>116</v>
      </c>
      <c r="C45" s="25" t="n">
        <v>0.9284</v>
      </c>
      <c r="D45" s="17" t="n">
        <f aca="false">C45*100</f>
        <v>92.84</v>
      </c>
      <c r="E45" s="26" t="s">
        <v>36</v>
      </c>
      <c r="F45" s="26" t="s">
        <v>117</v>
      </c>
    </row>
    <row r="46" customFormat="false" ht="25.5" hidden="false" customHeight="true" outlineLevel="0" collapsed="false">
      <c r="A46" s="21" t="n">
        <v>43</v>
      </c>
      <c r="B46" s="21" t="s">
        <v>118</v>
      </c>
      <c r="C46" s="22" t="n">
        <v>0.9269</v>
      </c>
      <c r="D46" s="20" t="n">
        <f aca="false">C46*100</f>
        <v>92.69</v>
      </c>
      <c r="E46" s="23" t="s">
        <v>39</v>
      </c>
      <c r="F46" s="23" t="s">
        <v>119</v>
      </c>
    </row>
    <row r="47" customFormat="false" ht="25.5" hidden="false" customHeight="true" outlineLevel="0" collapsed="false">
      <c r="A47" s="24" t="n">
        <v>44</v>
      </c>
      <c r="B47" s="24" t="s">
        <v>120</v>
      </c>
      <c r="C47" s="25" t="n">
        <v>0.9254</v>
      </c>
      <c r="D47" s="17" t="n">
        <f aca="false">C47*100</f>
        <v>92.54</v>
      </c>
      <c r="E47" s="26" t="s">
        <v>121</v>
      </c>
      <c r="F47" s="26" t="s">
        <v>122</v>
      </c>
    </row>
    <row r="48" customFormat="false" ht="25.5" hidden="false" customHeight="true" outlineLevel="0" collapsed="false">
      <c r="A48" s="21" t="n">
        <v>45</v>
      </c>
      <c r="B48" s="21" t="s">
        <v>123</v>
      </c>
      <c r="C48" s="22" t="n">
        <v>0.9239</v>
      </c>
      <c r="D48" s="20" t="n">
        <f aca="false">C48*100</f>
        <v>92.39</v>
      </c>
      <c r="E48" s="23" t="s">
        <v>74</v>
      </c>
      <c r="F48" s="23" t="s">
        <v>124</v>
      </c>
    </row>
    <row r="49" customFormat="false" ht="25.5" hidden="false" customHeight="true" outlineLevel="0" collapsed="false">
      <c r="A49" s="24" t="n">
        <v>46</v>
      </c>
      <c r="B49" s="24" t="s">
        <v>125</v>
      </c>
      <c r="C49" s="25" t="n">
        <v>0.9224</v>
      </c>
      <c r="D49" s="17" t="n">
        <f aca="false">C49*100</f>
        <v>92.24</v>
      </c>
      <c r="E49" s="26" t="s">
        <v>126</v>
      </c>
      <c r="F49" s="26" t="s">
        <v>127</v>
      </c>
    </row>
    <row r="50" customFormat="false" ht="25.5" hidden="false" customHeight="true" outlineLevel="0" collapsed="false">
      <c r="A50" s="21" t="n">
        <v>47</v>
      </c>
      <c r="B50" s="21" t="s">
        <v>128</v>
      </c>
      <c r="C50" s="22" t="n">
        <v>0.921</v>
      </c>
      <c r="D50" s="20" t="n">
        <f aca="false">C50*100</f>
        <v>92.1</v>
      </c>
      <c r="E50" s="23" t="s">
        <v>129</v>
      </c>
      <c r="F50" s="23" t="s">
        <v>130</v>
      </c>
    </row>
    <row r="51" customFormat="false" ht="25.5" hidden="false" customHeight="true" outlineLevel="0" collapsed="false">
      <c r="A51" s="24" t="n">
        <v>48</v>
      </c>
      <c r="B51" s="24" t="s">
        <v>131</v>
      </c>
      <c r="C51" s="25" t="n">
        <v>0.9195</v>
      </c>
      <c r="D51" s="17" t="n">
        <f aca="false">C51*100</f>
        <v>91.95</v>
      </c>
      <c r="E51" s="26" t="s">
        <v>74</v>
      </c>
      <c r="F51" s="26" t="s">
        <v>132</v>
      </c>
    </row>
    <row r="52" customFormat="false" ht="25.5" hidden="false" customHeight="true" outlineLevel="0" collapsed="false">
      <c r="A52" s="21" t="n">
        <v>49</v>
      </c>
      <c r="B52" s="21" t="s">
        <v>133</v>
      </c>
      <c r="C52" s="22" t="n">
        <v>0.9181</v>
      </c>
      <c r="D52" s="20" t="n">
        <f aca="false">C52*100</f>
        <v>91.81</v>
      </c>
      <c r="E52" s="23" t="s">
        <v>114</v>
      </c>
      <c r="F52" s="23" t="s">
        <v>134</v>
      </c>
    </row>
    <row r="53" customFormat="false" ht="25.5" hidden="false" customHeight="true" outlineLevel="0" collapsed="false">
      <c r="A53" s="24" t="n">
        <v>50</v>
      </c>
      <c r="B53" s="24" t="s">
        <v>135</v>
      </c>
      <c r="C53" s="25" t="n">
        <v>0.9167</v>
      </c>
      <c r="D53" s="17" t="n">
        <f aca="false">C53*100</f>
        <v>91.67</v>
      </c>
      <c r="E53" s="26" t="s">
        <v>136</v>
      </c>
      <c r="F53" s="26" t="s">
        <v>137</v>
      </c>
    </row>
    <row r="54" customFormat="false" ht="25.5" hidden="false" customHeight="true" outlineLevel="0" collapsed="false">
      <c r="A54" s="21" t="n">
        <v>51</v>
      </c>
      <c r="B54" s="21" t="s">
        <v>138</v>
      </c>
      <c r="C54" s="22" t="n">
        <v>0.9153</v>
      </c>
      <c r="D54" s="20" t="n">
        <f aca="false">C54*100</f>
        <v>91.53</v>
      </c>
      <c r="E54" s="23" t="s">
        <v>9</v>
      </c>
      <c r="F54" s="23" t="s">
        <v>139</v>
      </c>
    </row>
    <row r="55" customFormat="false" ht="25.5" hidden="false" customHeight="true" outlineLevel="0" collapsed="false">
      <c r="A55" s="24" t="n">
        <v>52</v>
      </c>
      <c r="B55" s="24" t="s">
        <v>140</v>
      </c>
      <c r="C55" s="25" t="n">
        <v>0.9139</v>
      </c>
      <c r="D55" s="17" t="n">
        <f aca="false">C55*100</f>
        <v>91.39</v>
      </c>
      <c r="E55" s="26" t="s">
        <v>74</v>
      </c>
      <c r="F55" s="26" t="s">
        <v>141</v>
      </c>
    </row>
    <row r="56" customFormat="false" ht="25.5" hidden="false" customHeight="true" outlineLevel="0" collapsed="false">
      <c r="A56" s="21" t="n">
        <v>53</v>
      </c>
      <c r="B56" s="21" t="s">
        <v>142</v>
      </c>
      <c r="C56" s="22" t="n">
        <v>0.9125</v>
      </c>
      <c r="D56" s="20" t="n">
        <f aca="false">C56*100</f>
        <v>91.25</v>
      </c>
      <c r="E56" s="23" t="s">
        <v>143</v>
      </c>
      <c r="F56" s="23" t="s">
        <v>144</v>
      </c>
    </row>
    <row r="57" customFormat="false" ht="25.5" hidden="false" customHeight="true" outlineLevel="0" collapsed="false">
      <c r="A57" s="24" t="n">
        <v>54</v>
      </c>
      <c r="B57" s="24" t="s">
        <v>145</v>
      </c>
      <c r="C57" s="25" t="n">
        <v>0.9111</v>
      </c>
      <c r="D57" s="17" t="n">
        <f aca="false">C57*100</f>
        <v>91.11</v>
      </c>
      <c r="E57" s="26" t="s">
        <v>24</v>
      </c>
      <c r="F57" s="26" t="s">
        <v>146</v>
      </c>
    </row>
    <row r="58" customFormat="false" ht="25.5" hidden="false" customHeight="true" outlineLevel="0" collapsed="false">
      <c r="A58" s="21" t="n">
        <v>55</v>
      </c>
      <c r="B58" s="21" t="s">
        <v>147</v>
      </c>
      <c r="C58" s="22" t="n">
        <v>0.9097</v>
      </c>
      <c r="D58" s="20" t="n">
        <f aca="false">C58*100</f>
        <v>90.97</v>
      </c>
      <c r="E58" s="23" t="s">
        <v>62</v>
      </c>
      <c r="F58" s="23" t="s">
        <v>148</v>
      </c>
    </row>
    <row r="59" customFormat="false" ht="25.5" hidden="false" customHeight="true" outlineLevel="0" collapsed="false">
      <c r="A59" s="24" t="n">
        <v>56</v>
      </c>
      <c r="B59" s="24" t="s">
        <v>149</v>
      </c>
      <c r="C59" s="25" t="n">
        <v>0.9084</v>
      </c>
      <c r="D59" s="17" t="n">
        <f aca="false">C59*100</f>
        <v>90.84</v>
      </c>
      <c r="E59" s="26" t="s">
        <v>24</v>
      </c>
      <c r="F59" s="26" t="s">
        <v>150</v>
      </c>
    </row>
    <row r="60" customFormat="false" ht="25.5" hidden="false" customHeight="true" outlineLevel="0" collapsed="false">
      <c r="A60" s="21" t="n">
        <v>57</v>
      </c>
      <c r="B60" s="21" t="s">
        <v>151</v>
      </c>
      <c r="C60" s="22" t="n">
        <v>0.907</v>
      </c>
      <c r="D60" s="20" t="n">
        <f aca="false">C60*100</f>
        <v>90.7</v>
      </c>
      <c r="E60" s="23" t="s">
        <v>21</v>
      </c>
      <c r="F60" s="23" t="s">
        <v>152</v>
      </c>
    </row>
    <row r="61" customFormat="false" ht="25.5" hidden="false" customHeight="true" outlineLevel="0" collapsed="false">
      <c r="A61" s="24" t="n">
        <v>58</v>
      </c>
      <c r="B61" s="24" t="s">
        <v>153</v>
      </c>
      <c r="C61" s="25" t="n">
        <v>0.9057</v>
      </c>
      <c r="D61" s="17" t="n">
        <f aca="false">C61*100</f>
        <v>90.57</v>
      </c>
      <c r="E61" s="26" t="s">
        <v>36</v>
      </c>
      <c r="F61" s="26" t="s">
        <v>154</v>
      </c>
    </row>
    <row r="62" customFormat="false" ht="25.5" hidden="false" customHeight="true" outlineLevel="0" collapsed="false">
      <c r="A62" s="21" t="n">
        <v>59</v>
      </c>
      <c r="B62" s="21" t="s">
        <v>155</v>
      </c>
      <c r="C62" s="22" t="n">
        <v>0.9044</v>
      </c>
      <c r="D62" s="20" t="n">
        <f aca="false">C62*100</f>
        <v>90.44</v>
      </c>
      <c r="E62" s="23" t="s">
        <v>156</v>
      </c>
      <c r="F62" s="23" t="s">
        <v>157</v>
      </c>
    </row>
    <row r="63" customFormat="false" ht="25.5" hidden="false" customHeight="true" outlineLevel="0" collapsed="false">
      <c r="A63" s="24" t="n">
        <v>60</v>
      </c>
      <c r="B63" s="24" t="s">
        <v>158</v>
      </c>
      <c r="C63" s="25" t="n">
        <v>0.9031</v>
      </c>
      <c r="D63" s="17" t="n">
        <f aca="false">C63*100</f>
        <v>90.31</v>
      </c>
      <c r="E63" s="26" t="s">
        <v>159</v>
      </c>
      <c r="F63" s="26" t="s">
        <v>160</v>
      </c>
    </row>
    <row r="64" customFormat="false" ht="25.5" hidden="false" customHeight="true" outlineLevel="0" collapsed="false">
      <c r="A64" s="21" t="n">
        <v>61</v>
      </c>
      <c r="B64" s="21" t="s">
        <v>161</v>
      </c>
      <c r="C64" s="22" t="n">
        <v>0.9018</v>
      </c>
      <c r="D64" s="20" t="n">
        <f aca="false">C64*100</f>
        <v>90.18</v>
      </c>
      <c r="E64" s="23" t="s">
        <v>162</v>
      </c>
      <c r="F64" s="23" t="s">
        <v>163</v>
      </c>
    </row>
    <row r="65" customFormat="false" ht="25.5" hidden="false" customHeight="true" outlineLevel="0" collapsed="false">
      <c r="A65" s="24" t="n">
        <v>62</v>
      </c>
      <c r="B65" s="24" t="s">
        <v>164</v>
      </c>
      <c r="C65" s="25" t="n">
        <v>0.9005</v>
      </c>
      <c r="D65" s="17" t="n">
        <f aca="false">C65*100</f>
        <v>90.05</v>
      </c>
      <c r="E65" s="26" t="s">
        <v>129</v>
      </c>
      <c r="F65" s="26" t="s">
        <v>165</v>
      </c>
    </row>
    <row r="66" customFormat="false" ht="25.5" hidden="false" customHeight="true" outlineLevel="0" collapsed="false">
      <c r="A66" s="21" t="n">
        <v>63</v>
      </c>
      <c r="B66" s="21" t="s">
        <v>166</v>
      </c>
      <c r="C66" s="22" t="n">
        <v>0.8992</v>
      </c>
      <c r="D66" s="20" t="n">
        <f aca="false">C66*100</f>
        <v>89.92</v>
      </c>
      <c r="E66" s="23" t="s">
        <v>59</v>
      </c>
      <c r="F66" s="23" t="s">
        <v>167</v>
      </c>
    </row>
    <row r="67" customFormat="false" ht="25.5" hidden="false" customHeight="true" outlineLevel="0" collapsed="false">
      <c r="A67" s="24" t="n">
        <v>64</v>
      </c>
      <c r="B67" s="24" t="s">
        <v>168</v>
      </c>
      <c r="C67" s="25" t="n">
        <v>0.8979</v>
      </c>
      <c r="D67" s="17" t="n">
        <f aca="false">C67*100</f>
        <v>89.79</v>
      </c>
      <c r="E67" s="26" t="s">
        <v>62</v>
      </c>
      <c r="F67" s="26" t="s">
        <v>169</v>
      </c>
    </row>
    <row r="68" customFormat="false" ht="25.5" hidden="false" customHeight="true" outlineLevel="0" collapsed="false">
      <c r="A68" s="21" t="n">
        <v>65</v>
      </c>
      <c r="B68" s="21" t="s">
        <v>170</v>
      </c>
      <c r="C68" s="22" t="n">
        <v>0.8967</v>
      </c>
      <c r="D68" s="20" t="n">
        <f aca="false">C68*100</f>
        <v>89.67</v>
      </c>
      <c r="E68" s="23" t="s">
        <v>21</v>
      </c>
      <c r="F68" s="23" t="s">
        <v>171</v>
      </c>
    </row>
    <row r="69" customFormat="false" ht="25.5" hidden="false" customHeight="true" outlineLevel="0" collapsed="false">
      <c r="A69" s="24" t="n">
        <v>66</v>
      </c>
      <c r="B69" s="24" t="s">
        <v>172</v>
      </c>
      <c r="C69" s="25" t="n">
        <v>0.8954</v>
      </c>
      <c r="D69" s="17" t="n">
        <f aca="false">C69*100</f>
        <v>89.54</v>
      </c>
      <c r="E69" s="26" t="s">
        <v>114</v>
      </c>
      <c r="F69" s="26" t="s">
        <v>173</v>
      </c>
    </row>
    <row r="70" customFormat="false" ht="25.5" hidden="false" customHeight="true" outlineLevel="0" collapsed="false">
      <c r="A70" s="21" t="n">
        <v>67</v>
      </c>
      <c r="B70" s="21" t="s">
        <v>174</v>
      </c>
      <c r="C70" s="22" t="n">
        <v>0.8942</v>
      </c>
      <c r="D70" s="20" t="n">
        <f aca="false">C70*100</f>
        <v>89.42</v>
      </c>
      <c r="E70" s="23" t="s">
        <v>62</v>
      </c>
      <c r="F70" s="23" t="s">
        <v>175</v>
      </c>
    </row>
    <row r="71" customFormat="false" ht="25.5" hidden="false" customHeight="true" outlineLevel="0" collapsed="false">
      <c r="A71" s="24" t="n">
        <v>68</v>
      </c>
      <c r="B71" s="24" t="s">
        <v>176</v>
      </c>
      <c r="C71" s="25" t="n">
        <v>0.893</v>
      </c>
      <c r="D71" s="17" t="n">
        <f aca="false">C71*100</f>
        <v>89.3</v>
      </c>
      <c r="E71" s="26" t="s">
        <v>177</v>
      </c>
      <c r="F71" s="26" t="s">
        <v>178</v>
      </c>
    </row>
    <row r="72" customFormat="false" ht="25.5" hidden="false" customHeight="true" outlineLevel="0" collapsed="false">
      <c r="A72" s="21" t="n">
        <v>69</v>
      </c>
      <c r="B72" s="21" t="s">
        <v>179</v>
      </c>
      <c r="C72" s="22" t="n">
        <v>0.8918</v>
      </c>
      <c r="D72" s="20" t="n">
        <f aca="false">C72*100</f>
        <v>89.18</v>
      </c>
      <c r="E72" s="23" t="s">
        <v>82</v>
      </c>
      <c r="F72" s="23" t="s">
        <v>180</v>
      </c>
    </row>
    <row r="73" customFormat="false" ht="25.5" hidden="false" customHeight="true" outlineLevel="0" collapsed="false">
      <c r="A73" s="24" t="n">
        <v>70</v>
      </c>
      <c r="B73" s="24" t="s">
        <v>181</v>
      </c>
      <c r="C73" s="25" t="n">
        <v>0.8906</v>
      </c>
      <c r="D73" s="17" t="n">
        <f aca="false">C73*100</f>
        <v>89.06</v>
      </c>
      <c r="E73" s="26" t="s">
        <v>182</v>
      </c>
      <c r="F73" s="26" t="s">
        <v>183</v>
      </c>
    </row>
    <row r="74" customFormat="false" ht="25.5" hidden="false" customHeight="true" outlineLevel="0" collapsed="false">
      <c r="A74" s="21" t="n">
        <v>71</v>
      </c>
      <c r="B74" s="21" t="s">
        <v>184</v>
      </c>
      <c r="C74" s="22" t="n">
        <v>0.8894</v>
      </c>
      <c r="D74" s="20" t="n">
        <f aca="false">C74*100</f>
        <v>88.94</v>
      </c>
      <c r="E74" s="23" t="s">
        <v>39</v>
      </c>
      <c r="F74" s="23" t="s">
        <v>185</v>
      </c>
    </row>
    <row r="75" customFormat="false" ht="25.5" hidden="false" customHeight="true" outlineLevel="0" collapsed="false">
      <c r="A75" s="24" t="n">
        <v>72</v>
      </c>
      <c r="B75" s="24" t="s">
        <v>186</v>
      </c>
      <c r="C75" s="25" t="n">
        <v>0.8882</v>
      </c>
      <c r="D75" s="17" t="n">
        <f aca="false">C75*100</f>
        <v>88.82</v>
      </c>
      <c r="E75" s="26" t="s">
        <v>24</v>
      </c>
      <c r="F75" s="26" t="s">
        <v>187</v>
      </c>
    </row>
    <row r="76" customFormat="false" ht="25.5" hidden="false" customHeight="true" outlineLevel="0" collapsed="false">
      <c r="A76" s="21" t="n">
        <v>73</v>
      </c>
      <c r="B76" s="21" t="s">
        <v>188</v>
      </c>
      <c r="C76" s="22" t="n">
        <v>0.8871</v>
      </c>
      <c r="D76" s="20" t="n">
        <f aca="false">C76*100</f>
        <v>88.71</v>
      </c>
      <c r="E76" s="23" t="s">
        <v>189</v>
      </c>
      <c r="F76" s="23" t="s">
        <v>190</v>
      </c>
    </row>
    <row r="77" customFormat="false" ht="25.5" hidden="false" customHeight="true" outlineLevel="0" collapsed="false">
      <c r="A77" s="24" t="n">
        <v>74</v>
      </c>
      <c r="B77" s="24" t="s">
        <v>191</v>
      </c>
      <c r="C77" s="25" t="n">
        <v>0.8859</v>
      </c>
      <c r="D77" s="17" t="n">
        <f aca="false">C77*100</f>
        <v>88.59</v>
      </c>
      <c r="E77" s="26" t="s">
        <v>192</v>
      </c>
      <c r="F77" s="26" t="s">
        <v>193</v>
      </c>
    </row>
    <row r="78" customFormat="false" ht="25.5" hidden="false" customHeight="true" outlineLevel="0" collapsed="false">
      <c r="A78" s="21" t="n">
        <v>75</v>
      </c>
      <c r="B78" s="21" t="s">
        <v>194</v>
      </c>
      <c r="C78" s="22" t="n">
        <v>0.8848</v>
      </c>
      <c r="D78" s="20" t="n">
        <f aca="false">C78*100</f>
        <v>88.48</v>
      </c>
      <c r="E78" s="23" t="s">
        <v>51</v>
      </c>
      <c r="F78" s="23" t="s">
        <v>195</v>
      </c>
    </row>
    <row r="79" customFormat="false" ht="25.5" hidden="false" customHeight="true" outlineLevel="0" collapsed="false">
      <c r="A79" s="24" t="n">
        <v>76</v>
      </c>
      <c r="B79" s="24" t="s">
        <v>196</v>
      </c>
      <c r="C79" s="25" t="n">
        <v>0.8836</v>
      </c>
      <c r="D79" s="17" t="n">
        <f aca="false">C79*100</f>
        <v>88.36</v>
      </c>
      <c r="E79" s="26" t="s">
        <v>69</v>
      </c>
      <c r="F79" s="26" t="s">
        <v>197</v>
      </c>
    </row>
    <row r="80" customFormat="false" ht="25.5" hidden="false" customHeight="true" outlineLevel="0" collapsed="false">
      <c r="A80" s="21" t="n">
        <v>77</v>
      </c>
      <c r="B80" s="21" t="s">
        <v>198</v>
      </c>
      <c r="C80" s="22" t="n">
        <v>0.8825</v>
      </c>
      <c r="D80" s="20" t="n">
        <f aca="false">C80*100</f>
        <v>88.25</v>
      </c>
      <c r="E80" s="23" t="s">
        <v>45</v>
      </c>
      <c r="F80" s="23" t="s">
        <v>199</v>
      </c>
    </row>
    <row r="81" customFormat="false" ht="25.5" hidden="false" customHeight="true" outlineLevel="0" collapsed="false">
      <c r="A81" s="24" t="n">
        <v>78</v>
      </c>
      <c r="B81" s="24" t="s">
        <v>200</v>
      </c>
      <c r="C81" s="25" t="n">
        <v>0.8814</v>
      </c>
      <c r="D81" s="17" t="n">
        <f aca="false">C81*100</f>
        <v>88.14</v>
      </c>
      <c r="E81" s="26" t="s">
        <v>159</v>
      </c>
      <c r="F81" s="26" t="s">
        <v>201</v>
      </c>
    </row>
    <row r="82" customFormat="false" ht="25.5" hidden="false" customHeight="true" outlineLevel="0" collapsed="false">
      <c r="A82" s="21" t="n">
        <v>79</v>
      </c>
      <c r="B82" s="21" t="s">
        <v>202</v>
      </c>
      <c r="C82" s="22" t="n">
        <v>0.8803</v>
      </c>
      <c r="D82" s="20" t="n">
        <f aca="false">C82*100</f>
        <v>88.03</v>
      </c>
      <c r="E82" s="23" t="s">
        <v>12</v>
      </c>
      <c r="F82" s="23" t="s">
        <v>203</v>
      </c>
    </row>
    <row r="83" customFormat="false" ht="25.5" hidden="false" customHeight="true" outlineLevel="0" collapsed="false">
      <c r="A83" s="24" t="n">
        <v>80</v>
      </c>
      <c r="B83" s="24" t="s">
        <v>204</v>
      </c>
      <c r="C83" s="25" t="n">
        <v>0.8792</v>
      </c>
      <c r="D83" s="17" t="n">
        <f aca="false">C83*100</f>
        <v>87.92</v>
      </c>
      <c r="E83" s="26" t="s">
        <v>205</v>
      </c>
      <c r="F83" s="26" t="s">
        <v>206</v>
      </c>
    </row>
    <row r="84" customFormat="false" ht="25.5" hidden="false" customHeight="true" outlineLevel="0" collapsed="false">
      <c r="A84" s="21" t="n">
        <v>81</v>
      </c>
      <c r="B84" s="21" t="s">
        <v>207</v>
      </c>
      <c r="C84" s="22" t="n">
        <v>0.8782</v>
      </c>
      <c r="D84" s="20" t="n">
        <f aca="false">C84*100</f>
        <v>87.82</v>
      </c>
      <c r="E84" s="23" t="s">
        <v>136</v>
      </c>
      <c r="F84" s="23" t="s">
        <v>208</v>
      </c>
    </row>
    <row r="85" customFormat="false" ht="25.5" hidden="false" customHeight="true" outlineLevel="0" collapsed="false">
      <c r="A85" s="24" t="n">
        <v>82</v>
      </c>
      <c r="B85" s="24" t="s">
        <v>209</v>
      </c>
      <c r="C85" s="25" t="n">
        <v>0.8771</v>
      </c>
      <c r="D85" s="17" t="n">
        <f aca="false">C85*100</f>
        <v>87.71</v>
      </c>
      <c r="E85" s="26" t="s">
        <v>210</v>
      </c>
      <c r="F85" s="26" t="s">
        <v>211</v>
      </c>
    </row>
    <row r="86" customFormat="false" ht="25.5" hidden="false" customHeight="true" outlineLevel="0" collapsed="false">
      <c r="A86" s="21" t="n">
        <v>83</v>
      </c>
      <c r="B86" s="21" t="s">
        <v>212</v>
      </c>
      <c r="C86" s="22" t="n">
        <v>0.8761</v>
      </c>
      <c r="D86" s="20" t="n">
        <f aca="false">C86*100</f>
        <v>87.61</v>
      </c>
      <c r="E86" s="23" t="s">
        <v>69</v>
      </c>
      <c r="F86" s="23" t="s">
        <v>213</v>
      </c>
    </row>
    <row r="87" customFormat="false" ht="25.5" hidden="false" customHeight="true" outlineLevel="0" collapsed="false">
      <c r="A87" s="24" t="n">
        <v>84</v>
      </c>
      <c r="B87" s="24" t="s">
        <v>214</v>
      </c>
      <c r="C87" s="25" t="n">
        <v>0.875</v>
      </c>
      <c r="D87" s="17" t="n">
        <f aca="false">C87*100</f>
        <v>87.5</v>
      </c>
      <c r="E87" s="26" t="s">
        <v>21</v>
      </c>
      <c r="F87" s="26" t="s">
        <v>215</v>
      </c>
    </row>
    <row r="88" customFormat="false" ht="25.5" hidden="false" customHeight="true" outlineLevel="0" collapsed="false">
      <c r="A88" s="21" t="n">
        <v>85</v>
      </c>
      <c r="B88" s="21" t="s">
        <v>216</v>
      </c>
      <c r="C88" s="22" t="n">
        <v>0.874</v>
      </c>
      <c r="D88" s="20" t="n">
        <f aca="false">C88*100</f>
        <v>87.4</v>
      </c>
      <c r="E88" s="23" t="s">
        <v>69</v>
      </c>
      <c r="F88" s="23" t="s">
        <v>217</v>
      </c>
    </row>
    <row r="89" customFormat="false" ht="25.5" hidden="false" customHeight="true" outlineLevel="0" collapsed="false">
      <c r="A89" s="24" t="n">
        <v>86</v>
      </c>
      <c r="B89" s="24" t="s">
        <v>218</v>
      </c>
      <c r="C89" s="25" t="n">
        <v>0.873</v>
      </c>
      <c r="D89" s="17" t="n">
        <f aca="false">C89*100</f>
        <v>87.3</v>
      </c>
      <c r="E89" s="26" t="s">
        <v>21</v>
      </c>
      <c r="F89" s="26" t="s">
        <v>219</v>
      </c>
    </row>
    <row r="90" customFormat="false" ht="25.5" hidden="false" customHeight="true" outlineLevel="0" collapsed="false">
      <c r="A90" s="21" t="n">
        <v>87</v>
      </c>
      <c r="B90" s="21" t="s">
        <v>220</v>
      </c>
      <c r="C90" s="22" t="n">
        <v>0.872</v>
      </c>
      <c r="D90" s="20" t="n">
        <f aca="false">C90*100</f>
        <v>87.2</v>
      </c>
      <c r="E90" s="23" t="s">
        <v>114</v>
      </c>
      <c r="F90" s="23" t="s">
        <v>221</v>
      </c>
    </row>
    <row r="91" customFormat="false" ht="25.5" hidden="false" customHeight="true" outlineLevel="0" collapsed="false">
      <c r="A91" s="24" t="n">
        <v>88</v>
      </c>
      <c r="B91" s="24" t="s">
        <v>222</v>
      </c>
      <c r="C91" s="25" t="n">
        <v>0.871</v>
      </c>
      <c r="D91" s="17" t="n">
        <f aca="false">C91*100</f>
        <v>87.1</v>
      </c>
      <c r="E91" s="26" t="s">
        <v>48</v>
      </c>
      <c r="F91" s="26" t="s">
        <v>223</v>
      </c>
    </row>
    <row r="92" customFormat="false" ht="25.5" hidden="false" customHeight="true" outlineLevel="0" collapsed="false">
      <c r="A92" s="21" t="n">
        <v>89</v>
      </c>
      <c r="B92" s="21" t="s">
        <v>224</v>
      </c>
      <c r="C92" s="22" t="n">
        <v>0.87</v>
      </c>
      <c r="D92" s="20" t="n">
        <f aca="false">C92*100</f>
        <v>87</v>
      </c>
      <c r="E92" s="23" t="s">
        <v>27</v>
      </c>
      <c r="F92" s="23" t="s">
        <v>225</v>
      </c>
    </row>
    <row r="93" customFormat="false" ht="25.5" hidden="false" customHeight="true" outlineLevel="0" collapsed="false">
      <c r="A93" s="24" t="n">
        <v>90</v>
      </c>
      <c r="B93" s="24" t="s">
        <v>226</v>
      </c>
      <c r="C93" s="25" t="n">
        <v>0.869</v>
      </c>
      <c r="D93" s="17" t="n">
        <f aca="false">C93*100</f>
        <v>86.9</v>
      </c>
      <c r="E93" s="26" t="s">
        <v>177</v>
      </c>
      <c r="F93" s="26" t="s">
        <v>227</v>
      </c>
    </row>
    <row r="94" customFormat="false" ht="25.5" hidden="false" customHeight="true" outlineLevel="0" collapsed="false">
      <c r="A94" s="21" t="n">
        <v>91</v>
      </c>
      <c r="B94" s="21" t="s">
        <v>228</v>
      </c>
      <c r="C94" s="22" t="n">
        <v>0.8681</v>
      </c>
      <c r="D94" s="20" t="n">
        <f aca="false">C94*100</f>
        <v>86.81</v>
      </c>
      <c r="E94" s="23" t="s">
        <v>21</v>
      </c>
      <c r="F94" s="23" t="s">
        <v>229</v>
      </c>
    </row>
    <row r="95" customFormat="false" ht="25.5" hidden="false" customHeight="true" outlineLevel="0" collapsed="false">
      <c r="A95" s="24" t="n">
        <v>92</v>
      </c>
      <c r="B95" s="24" t="s">
        <v>230</v>
      </c>
      <c r="C95" s="25" t="n">
        <v>0.8671</v>
      </c>
      <c r="D95" s="17" t="n">
        <f aca="false">C95*100</f>
        <v>86.71</v>
      </c>
      <c r="E95" s="26" t="s">
        <v>177</v>
      </c>
      <c r="F95" s="26" t="s">
        <v>231</v>
      </c>
    </row>
    <row r="96" customFormat="false" ht="25.5" hidden="false" customHeight="true" outlineLevel="0" collapsed="false">
      <c r="A96" s="21" t="n">
        <v>93</v>
      </c>
      <c r="B96" s="21" t="s">
        <v>232</v>
      </c>
      <c r="C96" s="22" t="n">
        <v>0.8662</v>
      </c>
      <c r="D96" s="20" t="n">
        <f aca="false">C96*100</f>
        <v>86.62</v>
      </c>
      <c r="E96" s="23" t="s">
        <v>233</v>
      </c>
      <c r="F96" s="23" t="s">
        <v>234</v>
      </c>
    </row>
    <row r="97" customFormat="false" ht="25.5" hidden="false" customHeight="true" outlineLevel="0" collapsed="false">
      <c r="A97" s="24" t="n">
        <v>94</v>
      </c>
      <c r="B97" s="24" t="s">
        <v>235</v>
      </c>
      <c r="C97" s="25" t="n">
        <v>0.8653</v>
      </c>
      <c r="D97" s="17" t="n">
        <f aca="false">C97*100</f>
        <v>86.53</v>
      </c>
      <c r="E97" s="26" t="s">
        <v>136</v>
      </c>
      <c r="F97" s="26" t="s">
        <v>236</v>
      </c>
    </row>
    <row r="98" customFormat="false" ht="25.5" hidden="false" customHeight="true" outlineLevel="0" collapsed="false">
      <c r="A98" s="21" t="n">
        <v>95</v>
      </c>
      <c r="B98" s="21" t="s">
        <v>237</v>
      </c>
      <c r="C98" s="22" t="n">
        <v>0.8644</v>
      </c>
      <c r="D98" s="20" t="n">
        <f aca="false">C98*100</f>
        <v>86.44</v>
      </c>
      <c r="E98" s="23" t="s">
        <v>24</v>
      </c>
      <c r="F98" s="23" t="s">
        <v>238</v>
      </c>
    </row>
    <row r="99" customFormat="false" ht="25.5" hidden="false" customHeight="true" outlineLevel="0" collapsed="false">
      <c r="A99" s="24" t="n">
        <v>96</v>
      </c>
      <c r="B99" s="24" t="s">
        <v>239</v>
      </c>
      <c r="C99" s="25" t="n">
        <v>0.8635</v>
      </c>
      <c r="D99" s="17" t="n">
        <f aca="false">C99*100</f>
        <v>86.35</v>
      </c>
      <c r="E99" s="26" t="s">
        <v>240</v>
      </c>
      <c r="F99" s="26" t="s">
        <v>241</v>
      </c>
    </row>
    <row r="100" customFormat="false" ht="25.5" hidden="false" customHeight="true" outlineLevel="0" collapsed="false">
      <c r="A100" s="21" t="n">
        <v>97</v>
      </c>
      <c r="B100" s="21" t="s">
        <v>242</v>
      </c>
      <c r="C100" s="22" t="n">
        <v>0.8626</v>
      </c>
      <c r="D100" s="20" t="n">
        <f aca="false">C100*100</f>
        <v>86.26</v>
      </c>
      <c r="E100" s="23" t="s">
        <v>45</v>
      </c>
      <c r="F100" s="23" t="s">
        <v>243</v>
      </c>
    </row>
    <row r="101" customFormat="false" ht="25.5" hidden="false" customHeight="true" outlineLevel="0" collapsed="false">
      <c r="A101" s="24" t="n">
        <v>98</v>
      </c>
      <c r="B101" s="24" t="s">
        <v>244</v>
      </c>
      <c r="C101" s="25" t="n">
        <v>0.8617</v>
      </c>
      <c r="D101" s="17" t="n">
        <f aca="false">C101*100</f>
        <v>86.17</v>
      </c>
      <c r="E101" s="26" t="s">
        <v>240</v>
      </c>
      <c r="F101" s="26" t="s">
        <v>245</v>
      </c>
    </row>
    <row r="102" customFormat="false" ht="25.5" hidden="false" customHeight="true" outlineLevel="0" collapsed="false">
      <c r="A102" s="21" t="n">
        <v>99</v>
      </c>
      <c r="B102" s="21" t="s">
        <v>246</v>
      </c>
      <c r="C102" s="22" t="n">
        <v>0.8609</v>
      </c>
      <c r="D102" s="20" t="n">
        <f aca="false">C102*100</f>
        <v>86.09</v>
      </c>
      <c r="E102" s="23" t="s">
        <v>12</v>
      </c>
      <c r="F102" s="23" t="s">
        <v>247</v>
      </c>
    </row>
    <row r="103" customFormat="false" ht="25.5" hidden="false" customHeight="true" outlineLevel="0" collapsed="false">
      <c r="A103" s="24" t="n">
        <v>100</v>
      </c>
      <c r="B103" s="24" t="s">
        <v>248</v>
      </c>
      <c r="C103" s="25" t="n">
        <v>0.86</v>
      </c>
      <c r="D103" s="17" t="n">
        <f aca="false">C103*100</f>
        <v>86</v>
      </c>
      <c r="E103" s="26" t="s">
        <v>249</v>
      </c>
      <c r="F103" s="26" t="s">
        <v>250</v>
      </c>
    </row>
  </sheetData>
  <mergeCells count="2">
    <mergeCell ref="A1:F1"/>
    <mergeCell ref="A2:F2"/>
  </mergeCells>
  <conditionalFormatting sqref="D4:D103">
    <cfRule type="colorScale" priority="2">
      <colorScale>
        <cfvo type="min" val="0"/>
        <cfvo type="percentile" val="50"/>
        <cfvo type="max" val="0"/>
        <color rgb="FFFCA5A5"/>
        <color rgb="FFFDE68A"/>
        <color rgb="FF6EE7B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52"/>
  </cols>
  <sheetData>
    <row r="1" customFormat="false" ht="33.75" hidden="false" customHeight="true" outlineLevel="0" collapsed="false">
      <c r="A1" s="27" t="s">
        <v>251</v>
      </c>
      <c r="B1" s="27"/>
      <c r="C1" s="27"/>
      <c r="D1" s="27"/>
      <c r="E1" s="27"/>
    </row>
    <row r="2" customFormat="false" ht="18" hidden="false" customHeight="true" outlineLevel="0" collapsed="false">
      <c r="A2" s="28" t="s">
        <v>252</v>
      </c>
      <c r="B2" s="28"/>
      <c r="C2" s="28"/>
      <c r="D2" s="28"/>
      <c r="E2" s="28"/>
    </row>
    <row r="3" customFormat="false" ht="9.75" hidden="false" customHeight="true" outlineLevel="0" collapsed="false"/>
    <row r="4" customFormat="false" ht="21.75" hidden="false" customHeight="true" outlineLevel="0" collapsed="false">
      <c r="A4" s="29" t="s">
        <v>253</v>
      </c>
      <c r="B4" s="30" t="n">
        <f aca="false">COUNTA(Rankings!B4:B103)</f>
        <v>100</v>
      </c>
    </row>
    <row r="5" customFormat="false" ht="21.75" hidden="false" customHeight="true" outlineLevel="0" collapsed="false">
      <c r="A5" s="29" t="s">
        <v>254</v>
      </c>
      <c r="B5" s="31" t="n">
        <f aca="false">MAX(Rankings!C4:C103)</f>
        <v>0.9999</v>
      </c>
    </row>
    <row r="6" customFormat="false" ht="21.75" hidden="false" customHeight="true" outlineLevel="0" collapsed="false">
      <c r="A6" s="29" t="s">
        <v>255</v>
      </c>
      <c r="B6" s="31" t="n">
        <f aca="false">MIN(Rankings!C4:C103)</f>
        <v>0.86</v>
      </c>
    </row>
    <row r="7" customFormat="false" ht="21.75" hidden="false" customHeight="true" outlineLevel="0" collapsed="false">
      <c r="A7" s="29" t="s">
        <v>256</v>
      </c>
      <c r="B7" s="31" t="n">
        <f aca="false">AVERAGE(Rankings!C4:C103)</f>
        <v>0.920719</v>
      </c>
    </row>
    <row r="8" customFormat="false" ht="21.75" hidden="false" customHeight="true" outlineLevel="0" collapsed="false">
      <c r="A8" s="29" t="s">
        <v>257</v>
      </c>
      <c r="B8" s="31" t="n">
        <f aca="false">MEDIAN(Rankings!C4:C103)</f>
        <v>0.916</v>
      </c>
    </row>
    <row r="9" customFormat="false" ht="21.75" hidden="false" customHeight="true" outlineLevel="0" collapsed="false">
      <c r="A9" s="29" t="s">
        <v>258</v>
      </c>
      <c r="B9" s="31" t="n">
        <f aca="false">MAX(Rankings!C4:C103)-MIN(Rankings!C4:C103)</f>
        <v>0.1399</v>
      </c>
    </row>
    <row r="11" customFormat="false" ht="9.75" hidden="false" customHeight="true" outlineLevel="0" collapsed="false"/>
    <row r="12" customFormat="false" ht="24" hidden="false" customHeight="true" outlineLevel="0" collapsed="false">
      <c r="A12" s="32" t="s">
        <v>259</v>
      </c>
      <c r="B12" s="32"/>
      <c r="C12" s="32"/>
      <c r="D12" s="32"/>
      <c r="E12" s="32"/>
    </row>
    <row r="13" customFormat="false" ht="18" hidden="false" customHeight="true" outlineLevel="0" collapsed="false">
      <c r="A13" s="33" t="s">
        <v>260</v>
      </c>
      <c r="B13" s="33" t="s">
        <v>261</v>
      </c>
      <c r="C13" s="33" t="s">
        <v>262</v>
      </c>
      <c r="D13" s="33" t="s">
        <v>263</v>
      </c>
      <c r="E13" s="33" t="s">
        <v>264</v>
      </c>
    </row>
    <row r="14" customFormat="false" ht="19.5" hidden="false" customHeight="true" outlineLevel="0" collapsed="false">
      <c r="A14" s="34" t="s">
        <v>265</v>
      </c>
      <c r="B14" s="35" t="s">
        <v>266</v>
      </c>
      <c r="C14" s="36" t="n">
        <v>0.9826</v>
      </c>
      <c r="D14" s="36" t="n">
        <v>0.9999</v>
      </c>
      <c r="E14" s="37" t="n">
        <v>10</v>
      </c>
    </row>
    <row r="15" customFormat="false" ht="19.5" hidden="false" customHeight="true" outlineLevel="0" collapsed="false">
      <c r="A15" s="38" t="s">
        <v>267</v>
      </c>
      <c r="B15" s="39" t="s">
        <v>268</v>
      </c>
      <c r="C15" s="40" t="n">
        <v>0.9557</v>
      </c>
      <c r="D15" s="40" t="n">
        <v>0.9807</v>
      </c>
      <c r="E15" s="41" t="n">
        <v>15</v>
      </c>
    </row>
    <row r="16" customFormat="false" ht="19.5" hidden="false" customHeight="true" outlineLevel="0" collapsed="false">
      <c r="A16" s="42" t="s">
        <v>269</v>
      </c>
      <c r="B16" s="43" t="s">
        <v>270</v>
      </c>
      <c r="C16" s="44" t="n">
        <v>0.9167</v>
      </c>
      <c r="D16" s="44" t="n">
        <v>0.954</v>
      </c>
      <c r="E16" s="45" t="n">
        <v>25</v>
      </c>
    </row>
    <row r="17" customFormat="false" ht="19.5" hidden="false" customHeight="true" outlineLevel="0" collapsed="false">
      <c r="A17" s="46" t="s">
        <v>271</v>
      </c>
      <c r="B17" s="47" t="s">
        <v>272</v>
      </c>
      <c r="C17" s="48" t="n">
        <v>0.8848</v>
      </c>
      <c r="D17" s="48" t="n">
        <v>0.9153</v>
      </c>
      <c r="E17" s="49" t="n">
        <v>25</v>
      </c>
    </row>
    <row r="18" customFormat="false" ht="19.5" hidden="false" customHeight="true" outlineLevel="0" collapsed="false">
      <c r="A18" s="33" t="s">
        <v>273</v>
      </c>
      <c r="B18" s="50" t="s">
        <v>274</v>
      </c>
      <c r="C18" s="51" t="n">
        <v>0.86</v>
      </c>
      <c r="D18" s="51" t="n">
        <v>0.8836</v>
      </c>
      <c r="E18" s="52" t="n">
        <v>25</v>
      </c>
    </row>
    <row r="20" customFormat="false" ht="9.75" hidden="false" customHeight="true" outlineLevel="0" collapsed="false"/>
    <row r="21" customFormat="false" ht="24" hidden="false" customHeight="true" outlineLevel="0" collapsed="false">
      <c r="A21" s="53" t="s">
        <v>275</v>
      </c>
      <c r="B21" s="53"/>
      <c r="C21" s="53"/>
      <c r="D21" s="53"/>
      <c r="E21" s="53"/>
    </row>
    <row r="22" customFormat="false" ht="18" hidden="false" customHeight="true" outlineLevel="0" collapsed="false">
      <c r="A22" s="42" t="s">
        <v>2</v>
      </c>
      <c r="B22" s="42" t="s">
        <v>3</v>
      </c>
      <c r="C22" s="42" t="s">
        <v>4</v>
      </c>
      <c r="D22" s="42" t="s">
        <v>5</v>
      </c>
      <c r="E22" s="42" t="s">
        <v>276</v>
      </c>
    </row>
    <row r="23" customFormat="false" ht="19.5" hidden="false" customHeight="true" outlineLevel="0" collapsed="false">
      <c r="A23" s="54" t="n">
        <v>1</v>
      </c>
      <c r="B23" s="34" t="s">
        <v>8</v>
      </c>
      <c r="C23" s="55" t="n">
        <v>0.9999</v>
      </c>
      <c r="D23" s="56" t="n">
        <v>99.99</v>
      </c>
      <c r="E23" s="57" t="s">
        <v>277</v>
      </c>
    </row>
    <row r="24" customFormat="false" ht="19.5" hidden="false" customHeight="true" outlineLevel="0" collapsed="false">
      <c r="A24" s="58" t="n">
        <v>2</v>
      </c>
      <c r="B24" s="59" t="s">
        <v>11</v>
      </c>
      <c r="C24" s="60" t="n">
        <v>0.9979</v>
      </c>
      <c r="D24" s="61" t="n">
        <v>99.79</v>
      </c>
      <c r="E24" s="62" t="s">
        <v>278</v>
      </c>
    </row>
    <row r="25" customFormat="false" ht="19.5" hidden="false" customHeight="true" outlineLevel="0" collapsed="false">
      <c r="A25" s="63" t="n">
        <v>3</v>
      </c>
      <c r="B25" s="64" t="s">
        <v>14</v>
      </c>
      <c r="C25" s="65" t="n">
        <v>0.996</v>
      </c>
      <c r="D25" s="66" t="n">
        <v>99.6</v>
      </c>
      <c r="E25" s="67" t="s">
        <v>278</v>
      </c>
    </row>
    <row r="26" customFormat="false" ht="19.5" hidden="false" customHeight="true" outlineLevel="0" collapsed="false">
      <c r="A26" s="68" t="n">
        <v>4</v>
      </c>
      <c r="B26" s="21" t="s">
        <v>17</v>
      </c>
      <c r="C26" s="22" t="n">
        <v>0.994</v>
      </c>
      <c r="D26" s="69" t="n">
        <v>99.4</v>
      </c>
      <c r="E26" s="23" t="s">
        <v>279</v>
      </c>
    </row>
    <row r="27" customFormat="false" ht="19.5" hidden="false" customHeight="true" outlineLevel="0" collapsed="false">
      <c r="A27" s="70" t="n">
        <v>5</v>
      </c>
      <c r="B27" s="24" t="s">
        <v>20</v>
      </c>
      <c r="C27" s="25" t="n">
        <v>0.9921</v>
      </c>
      <c r="D27" s="71" t="n">
        <v>99.21</v>
      </c>
      <c r="E27" s="26" t="s">
        <v>278</v>
      </c>
    </row>
    <row r="28" customFormat="false" ht="19.5" hidden="false" customHeight="true" outlineLevel="0" collapsed="false">
      <c r="A28" s="68" t="n">
        <v>6</v>
      </c>
      <c r="B28" s="21" t="s">
        <v>23</v>
      </c>
      <c r="C28" s="22" t="n">
        <v>0.9902</v>
      </c>
      <c r="D28" s="69" t="n">
        <v>99.02</v>
      </c>
      <c r="E28" s="23" t="s">
        <v>278</v>
      </c>
    </row>
    <row r="29" customFormat="false" ht="19.5" hidden="false" customHeight="true" outlineLevel="0" collapsed="false">
      <c r="A29" s="70" t="n">
        <v>7</v>
      </c>
      <c r="B29" s="24" t="s">
        <v>26</v>
      </c>
      <c r="C29" s="25" t="n">
        <v>0.9882</v>
      </c>
      <c r="D29" s="71" t="n">
        <v>98.82</v>
      </c>
      <c r="E29" s="26" t="s">
        <v>279</v>
      </c>
    </row>
    <row r="30" customFormat="false" ht="19.5" hidden="false" customHeight="true" outlineLevel="0" collapsed="false">
      <c r="A30" s="68" t="n">
        <v>8</v>
      </c>
      <c r="B30" s="21" t="s">
        <v>29</v>
      </c>
      <c r="C30" s="22" t="n">
        <v>0.9863</v>
      </c>
      <c r="D30" s="69" t="n">
        <v>98.63</v>
      </c>
      <c r="E30" s="23" t="s">
        <v>278</v>
      </c>
    </row>
    <row r="31" customFormat="false" ht="19.5" hidden="false" customHeight="true" outlineLevel="0" collapsed="false">
      <c r="A31" s="70" t="n">
        <v>9</v>
      </c>
      <c r="B31" s="24" t="s">
        <v>32</v>
      </c>
      <c r="C31" s="25" t="n">
        <v>0.9844</v>
      </c>
      <c r="D31" s="71" t="n">
        <v>98.44</v>
      </c>
      <c r="E31" s="26" t="s">
        <v>279</v>
      </c>
    </row>
    <row r="32" customFormat="false" ht="19.5" hidden="false" customHeight="true" outlineLevel="0" collapsed="false">
      <c r="A32" s="68" t="n">
        <v>10</v>
      </c>
      <c r="B32" s="21" t="s">
        <v>35</v>
      </c>
      <c r="C32" s="22" t="n">
        <v>0.9826</v>
      </c>
      <c r="D32" s="69" t="n">
        <v>98.26</v>
      </c>
      <c r="E32" s="23" t="s">
        <v>277</v>
      </c>
    </row>
  </sheetData>
  <mergeCells count="4">
    <mergeCell ref="A1:E1"/>
    <mergeCell ref="A2:E2"/>
    <mergeCell ref="A12:E12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2026-06-28T15:49:03Z</dcterms:created>
  <dc:creator>openpyxl</dc:creator>
  <dc:description/>
  <dc:language>en-US</dc:language>
  <cp:lastModifiedBy/>
  <dcterms:modified xsi:type="dcterms:W3CDTF">2026-06-28T15:49:03Z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